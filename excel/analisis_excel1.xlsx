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licers/slicer1.xml" ContentType="application/vnd.ms-excel.slicer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esktop\base1\excel\"/>
    </mc:Choice>
  </mc:AlternateContent>
  <xr:revisionPtr revIDLastSave="0" documentId="13_ncr:1_{311F4E50-9E00-4F7A-ABEC-029B3564ACC3}" xr6:coauthVersionLast="47" xr6:coauthVersionMax="47" xr10:uidLastSave="{00000000-0000-0000-0000-000000000000}"/>
  <bookViews>
    <workbookView xWindow="-120" yWindow="-120" windowWidth="29040" windowHeight="16440" activeTab="5" xr2:uid="{00000000-000D-0000-FFFF-FFFF00000000}"/>
  </bookViews>
  <sheets>
    <sheet name="Datos_Peru" sheetId="1" r:id="rId1"/>
    <sheet name="Base_limpia" sheetId="6" r:id="rId2"/>
    <sheet name="Analisis_Vendedores" sheetId="7" r:id="rId3"/>
    <sheet name="Analisis_Producto" sheetId="12" r:id="rId4"/>
    <sheet name="Analisis_Territorio" sheetId="16" r:id="rId5"/>
    <sheet name="Dash" sheetId="20" r:id="rId6"/>
  </sheets>
  <definedNames>
    <definedName name="SegmentaciónDeDatos_Años__Fecha">#N/A</definedName>
    <definedName name="SegmentaciónDeDatos_Ciudad">#N/A</definedName>
    <definedName name="SegmentaciónDeDatos_Meses__Fecha">#N/A</definedName>
    <definedName name="SegmentaciónDeDatos_Nivel_Venta">#N/A</definedName>
    <definedName name="SegmentaciónDeDatos_Producto">#N/A</definedName>
    <definedName name="SegmentaciónDeDatos_Producto1">#N/A</definedName>
    <definedName name="SegmentaciónDeDatos_Territorio">#N/A</definedName>
    <definedName name="SegmentaciónDeDatos_Vendedor">#N/A</definedName>
    <definedName name="SegmentaciónDeDatos_Vendedor1">#N/A</definedName>
  </definedNames>
  <calcPr calcId="191029"/>
  <pivotCaches>
    <pivotCache cacheId="0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  <x14:slicerCache r:id="rId11"/>
        <x14:slicerCache r:id="rId12"/>
        <x14:slicerCache r:id="rId13"/>
        <x14:slicerCache r:id="rId1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15"/>
        <x14:slicerCache r:id="rId16"/>
      </x15:slicerCaches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4" i="7" l="1"/>
  <c r="G14" i="7"/>
  <c r="F14" i="7"/>
  <c r="H13" i="7"/>
  <c r="G13" i="7"/>
  <c r="F13" i="7"/>
  <c r="H12" i="7"/>
  <c r="G12" i="7"/>
  <c r="F12" i="7"/>
  <c r="H11" i="7"/>
  <c r="G11" i="7"/>
  <c r="F11" i="7"/>
  <c r="H10" i="7"/>
  <c r="G10" i="7"/>
  <c r="F10" i="7"/>
  <c r="H9" i="7"/>
  <c r="G9" i="7"/>
  <c r="F9" i="7"/>
  <c r="H8" i="7"/>
  <c r="G8" i="7"/>
  <c r="F8" i="7"/>
  <c r="H7" i="7"/>
  <c r="G7" i="7"/>
  <c r="F7" i="7"/>
  <c r="H6" i="7"/>
  <c r="G6" i="7"/>
  <c r="F6" i="7"/>
  <c r="H5" i="7"/>
  <c r="G5" i="7"/>
  <c r="F5" i="7"/>
  <c r="K975" i="1"/>
  <c r="J975" i="1"/>
  <c r="K974" i="1"/>
  <c r="J974" i="1"/>
  <c r="K973" i="1"/>
  <c r="J973" i="1"/>
  <c r="K972" i="1"/>
  <c r="J972" i="1"/>
  <c r="K971" i="1"/>
  <c r="J971" i="1"/>
  <c r="K970" i="1"/>
  <c r="J970" i="1"/>
  <c r="K969" i="1"/>
  <c r="J969" i="1"/>
  <c r="K968" i="1"/>
  <c r="J968" i="1"/>
  <c r="K967" i="1"/>
  <c r="J967" i="1"/>
  <c r="K966" i="1"/>
  <c r="J966" i="1"/>
  <c r="K965" i="1"/>
  <c r="J965" i="1"/>
  <c r="K964" i="1"/>
  <c r="J964" i="1"/>
  <c r="K963" i="1"/>
  <c r="J963" i="1"/>
  <c r="K962" i="1"/>
  <c r="J962" i="1"/>
  <c r="K961" i="1"/>
  <c r="J961" i="1"/>
  <c r="K960" i="1"/>
  <c r="J960" i="1"/>
  <c r="K959" i="1"/>
  <c r="J959" i="1"/>
  <c r="K958" i="1"/>
  <c r="J958" i="1"/>
  <c r="K957" i="1"/>
  <c r="J957" i="1"/>
  <c r="K956" i="1"/>
  <c r="J956" i="1"/>
  <c r="K955" i="1"/>
  <c r="J955" i="1"/>
  <c r="K954" i="1"/>
  <c r="J954" i="1"/>
  <c r="K953" i="1"/>
  <c r="J953" i="1"/>
  <c r="K952" i="1"/>
  <c r="J952" i="1"/>
  <c r="K951" i="1"/>
  <c r="J951" i="1"/>
  <c r="K950" i="1"/>
  <c r="J950" i="1"/>
  <c r="K949" i="1"/>
  <c r="J949" i="1"/>
  <c r="K948" i="1"/>
  <c r="J948" i="1"/>
  <c r="K947" i="1"/>
  <c r="J947" i="1"/>
  <c r="K946" i="1"/>
  <c r="J946" i="1"/>
  <c r="K945" i="1"/>
  <c r="J945" i="1"/>
  <c r="K944" i="1"/>
  <c r="J944" i="1"/>
  <c r="K943" i="1"/>
  <c r="J943" i="1"/>
  <c r="K942" i="1"/>
  <c r="J942" i="1"/>
  <c r="K941" i="1"/>
  <c r="J941" i="1"/>
  <c r="K940" i="1"/>
  <c r="J940" i="1"/>
  <c r="K939" i="1"/>
  <c r="J939" i="1"/>
  <c r="K938" i="1"/>
  <c r="J938" i="1"/>
  <c r="K937" i="1"/>
  <c r="J937" i="1"/>
  <c r="K936" i="1"/>
  <c r="J936" i="1"/>
  <c r="K935" i="1"/>
  <c r="J935" i="1"/>
  <c r="K934" i="1"/>
  <c r="J934" i="1"/>
  <c r="K933" i="1"/>
  <c r="J933" i="1"/>
  <c r="K932" i="1"/>
  <c r="J932" i="1"/>
  <c r="K931" i="1"/>
  <c r="J931" i="1"/>
  <c r="K930" i="1"/>
  <c r="J930" i="1"/>
  <c r="K929" i="1"/>
  <c r="J929" i="1"/>
  <c r="K928" i="1"/>
  <c r="J928" i="1"/>
  <c r="K927" i="1"/>
  <c r="J927" i="1"/>
  <c r="K926" i="1"/>
  <c r="J926" i="1"/>
  <c r="K925" i="1"/>
  <c r="J925" i="1"/>
  <c r="K924" i="1"/>
  <c r="J924" i="1"/>
  <c r="K923" i="1"/>
  <c r="J923" i="1"/>
  <c r="K922" i="1"/>
  <c r="J922" i="1"/>
  <c r="K921" i="1"/>
  <c r="J921" i="1"/>
  <c r="K920" i="1"/>
  <c r="J920" i="1"/>
  <c r="K919" i="1"/>
  <c r="J919" i="1"/>
  <c r="K918" i="1"/>
  <c r="J918" i="1"/>
  <c r="K917" i="1"/>
  <c r="J917" i="1"/>
  <c r="K916" i="1"/>
  <c r="J916" i="1"/>
  <c r="K915" i="1"/>
  <c r="J915" i="1"/>
  <c r="K914" i="1"/>
  <c r="J914" i="1"/>
  <c r="K913" i="1"/>
  <c r="J913" i="1"/>
  <c r="K912" i="1"/>
  <c r="J912" i="1"/>
  <c r="K911" i="1"/>
  <c r="J911" i="1"/>
  <c r="K910" i="1"/>
  <c r="J910" i="1"/>
  <c r="K909" i="1"/>
  <c r="J909" i="1"/>
  <c r="K908" i="1"/>
  <c r="J908" i="1"/>
  <c r="K907" i="1"/>
  <c r="J907" i="1"/>
  <c r="K906" i="1"/>
  <c r="J906" i="1"/>
  <c r="K905" i="1"/>
  <c r="J905" i="1"/>
  <c r="K904" i="1"/>
  <c r="J904" i="1"/>
  <c r="K903" i="1"/>
  <c r="J903" i="1"/>
  <c r="K902" i="1"/>
  <c r="J902" i="1"/>
  <c r="K901" i="1"/>
  <c r="J901" i="1"/>
  <c r="K900" i="1"/>
  <c r="J900" i="1"/>
  <c r="K899" i="1"/>
  <c r="J899" i="1"/>
  <c r="K898" i="1"/>
  <c r="J898" i="1"/>
  <c r="K897" i="1"/>
  <c r="J897" i="1"/>
  <c r="K896" i="1"/>
  <c r="J896" i="1"/>
  <c r="K895" i="1"/>
  <c r="J895" i="1"/>
  <c r="K894" i="1"/>
  <c r="J894" i="1"/>
  <c r="K893" i="1"/>
  <c r="J893" i="1"/>
  <c r="K892" i="1"/>
  <c r="J892" i="1"/>
  <c r="K891" i="1"/>
  <c r="J891" i="1"/>
  <c r="K890" i="1"/>
  <c r="J890" i="1"/>
  <c r="K889" i="1"/>
  <c r="J889" i="1"/>
  <c r="K888" i="1"/>
  <c r="J888" i="1"/>
  <c r="K887" i="1"/>
  <c r="J887" i="1"/>
  <c r="K886" i="1"/>
  <c r="J886" i="1"/>
  <c r="K885" i="1"/>
  <c r="J885" i="1"/>
  <c r="K884" i="1"/>
  <c r="J884" i="1"/>
  <c r="K883" i="1"/>
  <c r="J883" i="1"/>
  <c r="K882" i="1"/>
  <c r="J882" i="1"/>
  <c r="K881" i="1"/>
  <c r="J881" i="1"/>
  <c r="K880" i="1"/>
  <c r="J880" i="1"/>
  <c r="K879" i="1"/>
  <c r="J879" i="1"/>
  <c r="K878" i="1"/>
  <c r="J878" i="1"/>
  <c r="K877" i="1"/>
  <c r="J877" i="1"/>
  <c r="K876" i="1"/>
  <c r="J876" i="1"/>
  <c r="K875" i="1"/>
  <c r="J875" i="1"/>
  <c r="K874" i="1"/>
  <c r="J874" i="1"/>
  <c r="K873" i="1"/>
  <c r="J873" i="1"/>
  <c r="K872" i="1"/>
  <c r="J872" i="1"/>
  <c r="K871" i="1"/>
  <c r="J871" i="1"/>
  <c r="K870" i="1"/>
  <c r="J870" i="1"/>
  <c r="K869" i="1"/>
  <c r="J869" i="1"/>
  <c r="K868" i="1"/>
  <c r="J868" i="1"/>
  <c r="K867" i="1"/>
  <c r="J867" i="1"/>
  <c r="K866" i="1"/>
  <c r="J866" i="1"/>
  <c r="K865" i="1"/>
  <c r="J865" i="1"/>
  <c r="K864" i="1"/>
  <c r="J864" i="1"/>
  <c r="K863" i="1"/>
  <c r="J863" i="1"/>
  <c r="K862" i="1"/>
  <c r="J862" i="1"/>
  <c r="K861" i="1"/>
  <c r="J861" i="1"/>
  <c r="K860" i="1"/>
  <c r="J860" i="1"/>
  <c r="K859" i="1"/>
  <c r="J859" i="1"/>
  <c r="K858" i="1"/>
  <c r="J858" i="1"/>
  <c r="K857" i="1"/>
  <c r="J857" i="1"/>
  <c r="K856" i="1"/>
  <c r="J856" i="1"/>
  <c r="K855" i="1"/>
  <c r="J855" i="1"/>
  <c r="K854" i="1"/>
  <c r="J854" i="1"/>
  <c r="K853" i="1"/>
  <c r="J853" i="1"/>
  <c r="K852" i="1"/>
  <c r="J852" i="1"/>
  <c r="K851" i="1"/>
  <c r="J851" i="1"/>
  <c r="K850" i="1"/>
  <c r="J850" i="1"/>
  <c r="K849" i="1"/>
  <c r="J849" i="1"/>
  <c r="K848" i="1"/>
  <c r="J848" i="1"/>
  <c r="K847" i="1"/>
  <c r="J847" i="1"/>
  <c r="K846" i="1"/>
  <c r="J846" i="1"/>
  <c r="K845" i="1"/>
  <c r="J845" i="1"/>
  <c r="K844" i="1"/>
  <c r="J844" i="1"/>
  <c r="K843" i="1"/>
  <c r="J843" i="1"/>
  <c r="K842" i="1"/>
  <c r="J842" i="1"/>
  <c r="K841" i="1"/>
  <c r="J841" i="1"/>
  <c r="K840" i="1"/>
  <c r="J840" i="1"/>
  <c r="K839" i="1"/>
  <c r="J839" i="1"/>
  <c r="K838" i="1"/>
  <c r="J838" i="1"/>
  <c r="K837" i="1"/>
  <c r="J837" i="1"/>
  <c r="K836" i="1"/>
  <c r="J836" i="1"/>
  <c r="K835" i="1"/>
  <c r="J835" i="1"/>
  <c r="K834" i="1"/>
  <c r="J834" i="1"/>
  <c r="K833" i="1"/>
  <c r="J833" i="1"/>
  <c r="K832" i="1"/>
  <c r="J832" i="1"/>
  <c r="K831" i="1"/>
  <c r="J831" i="1"/>
  <c r="K830" i="1"/>
  <c r="J830" i="1"/>
  <c r="K829" i="1"/>
  <c r="J829" i="1"/>
  <c r="K828" i="1"/>
  <c r="J828" i="1"/>
  <c r="K827" i="1"/>
  <c r="J827" i="1"/>
  <c r="K826" i="1"/>
  <c r="J826" i="1"/>
  <c r="K825" i="1"/>
  <c r="J825" i="1"/>
  <c r="K824" i="1"/>
  <c r="J824" i="1"/>
  <c r="K823" i="1"/>
  <c r="J823" i="1"/>
  <c r="K822" i="1"/>
  <c r="J822" i="1"/>
  <c r="K821" i="1"/>
  <c r="J821" i="1"/>
  <c r="K820" i="1"/>
  <c r="J820" i="1"/>
  <c r="K819" i="1"/>
  <c r="J819" i="1"/>
  <c r="K818" i="1"/>
  <c r="J818" i="1"/>
  <c r="K817" i="1"/>
  <c r="J817" i="1"/>
  <c r="K816" i="1"/>
  <c r="J816" i="1"/>
  <c r="K815" i="1"/>
  <c r="J815" i="1"/>
  <c r="K814" i="1"/>
  <c r="J814" i="1"/>
  <c r="K813" i="1"/>
  <c r="J813" i="1"/>
  <c r="K812" i="1"/>
  <c r="J812" i="1"/>
  <c r="K811" i="1"/>
  <c r="J811" i="1"/>
  <c r="K810" i="1"/>
  <c r="J810" i="1"/>
  <c r="K809" i="1"/>
  <c r="J809" i="1"/>
  <c r="K808" i="1"/>
  <c r="J808" i="1"/>
  <c r="K807" i="1"/>
  <c r="J807" i="1"/>
  <c r="K806" i="1"/>
  <c r="J806" i="1"/>
  <c r="K805" i="1"/>
  <c r="J805" i="1"/>
  <c r="K804" i="1"/>
  <c r="J804" i="1"/>
  <c r="K803" i="1"/>
  <c r="J803" i="1"/>
  <c r="K802" i="1"/>
  <c r="J802" i="1"/>
  <c r="K801" i="1"/>
  <c r="J801" i="1"/>
  <c r="K800" i="1"/>
  <c r="J800" i="1"/>
  <c r="K799" i="1"/>
  <c r="J799" i="1"/>
  <c r="K798" i="1"/>
  <c r="J798" i="1"/>
  <c r="K797" i="1"/>
  <c r="J797" i="1"/>
  <c r="K796" i="1"/>
  <c r="J796" i="1"/>
  <c r="K795" i="1"/>
  <c r="J795" i="1"/>
  <c r="K794" i="1"/>
  <c r="J794" i="1"/>
  <c r="K793" i="1"/>
  <c r="J793" i="1"/>
  <c r="K792" i="1"/>
  <c r="J792" i="1"/>
  <c r="K791" i="1"/>
  <c r="J791" i="1"/>
  <c r="K790" i="1"/>
  <c r="J790" i="1"/>
  <c r="K789" i="1"/>
  <c r="J789" i="1"/>
  <c r="K788" i="1"/>
  <c r="J788" i="1"/>
  <c r="K787" i="1"/>
  <c r="J787" i="1"/>
  <c r="K786" i="1"/>
  <c r="J786" i="1"/>
  <c r="K785" i="1"/>
  <c r="J785" i="1"/>
  <c r="K784" i="1"/>
  <c r="J784" i="1"/>
  <c r="K783" i="1"/>
  <c r="J783" i="1"/>
  <c r="K782" i="1"/>
  <c r="J782" i="1"/>
  <c r="K781" i="1"/>
  <c r="J781" i="1"/>
  <c r="K780" i="1"/>
  <c r="J780" i="1"/>
  <c r="K779" i="1"/>
  <c r="J779" i="1"/>
  <c r="K778" i="1"/>
  <c r="J778" i="1"/>
  <c r="K777" i="1"/>
  <c r="J777" i="1"/>
  <c r="K776" i="1"/>
  <c r="J776" i="1"/>
  <c r="K775" i="1"/>
  <c r="J775" i="1"/>
  <c r="K774" i="1"/>
  <c r="J774" i="1"/>
  <c r="K773" i="1"/>
  <c r="J773" i="1"/>
  <c r="K772" i="1"/>
  <c r="J772" i="1"/>
  <c r="K771" i="1"/>
  <c r="J771" i="1"/>
  <c r="K770" i="1"/>
  <c r="J770" i="1"/>
  <c r="K769" i="1"/>
  <c r="J769" i="1"/>
  <c r="K768" i="1"/>
  <c r="J768" i="1"/>
  <c r="K767" i="1"/>
  <c r="J767" i="1"/>
  <c r="K766" i="1"/>
  <c r="J766" i="1"/>
  <c r="K765" i="1"/>
  <c r="J765" i="1"/>
  <c r="K764" i="1"/>
  <c r="J764" i="1"/>
  <c r="K763" i="1"/>
  <c r="J763" i="1"/>
  <c r="K762" i="1"/>
  <c r="J762" i="1"/>
  <c r="K761" i="1"/>
  <c r="J761" i="1"/>
  <c r="K760" i="1"/>
  <c r="J760" i="1"/>
  <c r="K759" i="1"/>
  <c r="J759" i="1"/>
  <c r="K758" i="1"/>
  <c r="J758" i="1"/>
  <c r="K757" i="1"/>
  <c r="J757" i="1"/>
  <c r="K756" i="1"/>
  <c r="J756" i="1"/>
  <c r="K755" i="1"/>
  <c r="J755" i="1"/>
  <c r="K754" i="1"/>
  <c r="J754" i="1"/>
  <c r="K753" i="1"/>
  <c r="J753" i="1"/>
  <c r="K752" i="1"/>
  <c r="J752" i="1"/>
  <c r="K751" i="1"/>
  <c r="J751" i="1"/>
  <c r="K750" i="1"/>
  <c r="J750" i="1"/>
  <c r="K749" i="1"/>
  <c r="J749" i="1"/>
  <c r="K748" i="1"/>
  <c r="J748" i="1"/>
  <c r="K747" i="1"/>
  <c r="J747" i="1"/>
  <c r="K746" i="1"/>
  <c r="J746" i="1"/>
  <c r="K745" i="1"/>
  <c r="J745" i="1"/>
  <c r="K744" i="1"/>
  <c r="J744" i="1"/>
  <c r="K743" i="1"/>
  <c r="J743" i="1"/>
  <c r="K742" i="1"/>
  <c r="J742" i="1"/>
  <c r="K741" i="1"/>
  <c r="J741" i="1"/>
  <c r="K740" i="1"/>
  <c r="J740" i="1"/>
  <c r="K739" i="1"/>
  <c r="J739" i="1"/>
  <c r="K738" i="1"/>
  <c r="J738" i="1"/>
  <c r="K737" i="1"/>
  <c r="J737" i="1"/>
  <c r="K736" i="1"/>
  <c r="J736" i="1"/>
  <c r="K735" i="1"/>
  <c r="J735" i="1"/>
  <c r="K734" i="1"/>
  <c r="J734" i="1"/>
  <c r="K733" i="1"/>
  <c r="J733" i="1"/>
  <c r="K732" i="1"/>
  <c r="J732" i="1"/>
  <c r="K731" i="1"/>
  <c r="J731" i="1"/>
  <c r="K730" i="1"/>
  <c r="J730" i="1"/>
  <c r="K729" i="1"/>
  <c r="J729" i="1"/>
  <c r="K728" i="1"/>
  <c r="J728" i="1"/>
  <c r="K727" i="1"/>
  <c r="J727" i="1"/>
  <c r="K726" i="1"/>
  <c r="J726" i="1"/>
  <c r="K725" i="1"/>
  <c r="J725" i="1"/>
  <c r="K724" i="1"/>
  <c r="J724" i="1"/>
  <c r="K723" i="1"/>
  <c r="J723" i="1"/>
  <c r="K722" i="1"/>
  <c r="J722" i="1"/>
  <c r="K721" i="1"/>
  <c r="J721" i="1"/>
  <c r="K720" i="1"/>
  <c r="J720" i="1"/>
  <c r="K719" i="1"/>
  <c r="J719" i="1"/>
  <c r="K718" i="1"/>
  <c r="J718" i="1"/>
  <c r="K717" i="1"/>
  <c r="J717" i="1"/>
  <c r="K716" i="1"/>
  <c r="J716" i="1"/>
  <c r="K715" i="1"/>
  <c r="J715" i="1"/>
  <c r="K714" i="1"/>
  <c r="J714" i="1"/>
  <c r="K713" i="1"/>
  <c r="J713" i="1"/>
  <c r="K712" i="1"/>
  <c r="J712" i="1"/>
  <c r="K711" i="1"/>
  <c r="J711" i="1"/>
  <c r="K710" i="1"/>
  <c r="J710" i="1"/>
  <c r="K709" i="1"/>
  <c r="J709" i="1"/>
  <c r="K708" i="1"/>
  <c r="J708" i="1"/>
  <c r="K707" i="1"/>
  <c r="J707" i="1"/>
  <c r="K706" i="1"/>
  <c r="J706" i="1"/>
  <c r="K705" i="1"/>
  <c r="J705" i="1"/>
  <c r="K704" i="1"/>
  <c r="J704" i="1"/>
  <c r="K703" i="1"/>
  <c r="J703" i="1"/>
  <c r="K702" i="1"/>
  <c r="J702" i="1"/>
  <c r="K701" i="1"/>
  <c r="J701" i="1"/>
  <c r="K700" i="1"/>
  <c r="J700" i="1"/>
  <c r="K699" i="1"/>
  <c r="J699" i="1"/>
  <c r="K698" i="1"/>
  <c r="J698" i="1"/>
  <c r="K697" i="1"/>
  <c r="J697" i="1"/>
  <c r="K696" i="1"/>
  <c r="J696" i="1"/>
  <c r="K695" i="1"/>
  <c r="J695" i="1"/>
  <c r="K694" i="1"/>
  <c r="J694" i="1"/>
  <c r="K693" i="1"/>
  <c r="J693" i="1"/>
  <c r="K692" i="1"/>
  <c r="J692" i="1"/>
  <c r="K691" i="1"/>
  <c r="J691" i="1"/>
  <c r="K690" i="1"/>
  <c r="J690" i="1"/>
  <c r="K689" i="1"/>
  <c r="J689" i="1"/>
  <c r="K688" i="1"/>
  <c r="J688" i="1"/>
  <c r="K687" i="1"/>
  <c r="J687" i="1"/>
  <c r="K686" i="1"/>
  <c r="J686" i="1"/>
  <c r="K685" i="1"/>
  <c r="J685" i="1"/>
  <c r="K684" i="1"/>
  <c r="J684" i="1"/>
  <c r="K683" i="1"/>
  <c r="J683" i="1"/>
  <c r="K682" i="1"/>
  <c r="J682" i="1"/>
  <c r="K681" i="1"/>
  <c r="J681" i="1"/>
  <c r="K680" i="1"/>
  <c r="J680" i="1"/>
  <c r="K679" i="1"/>
  <c r="J679" i="1"/>
  <c r="K678" i="1"/>
  <c r="J678" i="1"/>
  <c r="K677" i="1"/>
  <c r="J677" i="1"/>
  <c r="K676" i="1"/>
  <c r="J676" i="1"/>
  <c r="K675" i="1"/>
  <c r="J675" i="1"/>
  <c r="K674" i="1"/>
  <c r="J674" i="1"/>
  <c r="K673" i="1"/>
  <c r="J673" i="1"/>
  <c r="K672" i="1"/>
  <c r="J672" i="1"/>
  <c r="K671" i="1"/>
  <c r="J671" i="1"/>
  <c r="K670" i="1"/>
  <c r="J670" i="1"/>
  <c r="K669" i="1"/>
  <c r="J669" i="1"/>
  <c r="K668" i="1"/>
  <c r="J668" i="1"/>
  <c r="K667" i="1"/>
  <c r="J667" i="1"/>
  <c r="K666" i="1"/>
  <c r="J666" i="1"/>
  <c r="K665" i="1"/>
  <c r="J665" i="1"/>
  <c r="K664" i="1"/>
  <c r="J664" i="1"/>
  <c r="K663" i="1"/>
  <c r="J663" i="1"/>
  <c r="K662" i="1"/>
  <c r="J662" i="1"/>
  <c r="K661" i="1"/>
  <c r="J661" i="1"/>
  <c r="K660" i="1"/>
  <c r="J660" i="1"/>
  <c r="K659" i="1"/>
  <c r="J659" i="1"/>
  <c r="K658" i="1"/>
  <c r="J658" i="1"/>
  <c r="K657" i="1"/>
  <c r="J657" i="1"/>
  <c r="K656" i="1"/>
  <c r="J656" i="1"/>
  <c r="K655" i="1"/>
  <c r="J655" i="1"/>
  <c r="K654" i="1"/>
  <c r="J654" i="1"/>
  <c r="K653" i="1"/>
  <c r="J653" i="1"/>
  <c r="K652" i="1"/>
  <c r="J652" i="1"/>
  <c r="K651" i="1"/>
  <c r="J651" i="1"/>
  <c r="K650" i="1"/>
  <c r="J650" i="1"/>
  <c r="K649" i="1"/>
  <c r="J649" i="1"/>
  <c r="K648" i="1"/>
  <c r="J648" i="1"/>
  <c r="K647" i="1"/>
  <c r="J647" i="1"/>
  <c r="K646" i="1"/>
  <c r="J646" i="1"/>
  <c r="K645" i="1"/>
  <c r="J645" i="1"/>
  <c r="K644" i="1"/>
  <c r="J644" i="1"/>
  <c r="K643" i="1"/>
  <c r="J643" i="1"/>
  <c r="K642" i="1"/>
  <c r="J642" i="1"/>
  <c r="K641" i="1"/>
  <c r="J641" i="1"/>
  <c r="K640" i="1"/>
  <c r="J640" i="1"/>
  <c r="K639" i="1"/>
  <c r="J639" i="1"/>
  <c r="K638" i="1"/>
  <c r="J638" i="1"/>
  <c r="K637" i="1"/>
  <c r="J637" i="1"/>
  <c r="K636" i="1"/>
  <c r="J636" i="1"/>
  <c r="K635" i="1"/>
  <c r="J635" i="1"/>
  <c r="K634" i="1"/>
  <c r="J634" i="1"/>
  <c r="K633" i="1"/>
  <c r="J633" i="1"/>
  <c r="K632" i="1"/>
  <c r="J632" i="1"/>
  <c r="K631" i="1"/>
  <c r="J631" i="1"/>
  <c r="K630" i="1"/>
  <c r="J630" i="1"/>
  <c r="K629" i="1"/>
  <c r="J629" i="1"/>
  <c r="K628" i="1"/>
  <c r="J628" i="1"/>
  <c r="K627" i="1"/>
  <c r="J627" i="1"/>
  <c r="K626" i="1"/>
  <c r="J626" i="1"/>
  <c r="K625" i="1"/>
  <c r="J625" i="1"/>
  <c r="K624" i="1"/>
  <c r="J624" i="1"/>
  <c r="K623" i="1"/>
  <c r="J623" i="1"/>
  <c r="K622" i="1"/>
  <c r="J622" i="1"/>
  <c r="K621" i="1"/>
  <c r="J621" i="1"/>
  <c r="K620" i="1"/>
  <c r="J620" i="1"/>
  <c r="K619" i="1"/>
  <c r="J619" i="1"/>
  <c r="K618" i="1"/>
  <c r="J618" i="1"/>
  <c r="K617" i="1"/>
  <c r="J617" i="1"/>
  <c r="K616" i="1"/>
  <c r="J616" i="1"/>
  <c r="K615" i="1"/>
  <c r="J615" i="1"/>
  <c r="K614" i="1"/>
  <c r="J614" i="1"/>
  <c r="K613" i="1"/>
  <c r="J613" i="1"/>
  <c r="K612" i="1"/>
  <c r="J612" i="1"/>
  <c r="K611" i="1"/>
  <c r="J611" i="1"/>
  <c r="K610" i="1"/>
  <c r="J610" i="1"/>
  <c r="K609" i="1"/>
  <c r="J609" i="1"/>
  <c r="K608" i="1"/>
  <c r="J608" i="1"/>
  <c r="K607" i="1"/>
  <c r="J607" i="1"/>
  <c r="K606" i="1"/>
  <c r="J606" i="1"/>
  <c r="K605" i="1"/>
  <c r="J605" i="1"/>
  <c r="K604" i="1"/>
  <c r="J604" i="1"/>
  <c r="K603" i="1"/>
  <c r="J603" i="1"/>
  <c r="K602" i="1"/>
  <c r="J602" i="1"/>
  <c r="K601" i="1"/>
  <c r="J601" i="1"/>
  <c r="K600" i="1"/>
  <c r="J600" i="1"/>
  <c r="K599" i="1"/>
  <c r="J599" i="1"/>
  <c r="K598" i="1"/>
  <c r="J598" i="1"/>
  <c r="K597" i="1"/>
  <c r="J597" i="1"/>
  <c r="K596" i="1"/>
  <c r="J596" i="1"/>
  <c r="K595" i="1"/>
  <c r="J595" i="1"/>
  <c r="K594" i="1"/>
  <c r="J594" i="1"/>
  <c r="K593" i="1"/>
  <c r="J593" i="1"/>
  <c r="K592" i="1"/>
  <c r="J592" i="1"/>
  <c r="K591" i="1"/>
  <c r="J591" i="1"/>
  <c r="K590" i="1"/>
  <c r="J590" i="1"/>
  <c r="K589" i="1"/>
  <c r="J589" i="1"/>
  <c r="K588" i="1"/>
  <c r="J588" i="1"/>
  <c r="K587" i="1"/>
  <c r="J587" i="1"/>
  <c r="K586" i="1"/>
  <c r="J586" i="1"/>
  <c r="K585" i="1"/>
  <c r="J585" i="1"/>
  <c r="K584" i="1"/>
  <c r="J584" i="1"/>
  <c r="K583" i="1"/>
  <c r="J583" i="1"/>
  <c r="K582" i="1"/>
  <c r="J582" i="1"/>
  <c r="K581" i="1"/>
  <c r="J581" i="1"/>
  <c r="K580" i="1"/>
  <c r="J580" i="1"/>
  <c r="K579" i="1"/>
  <c r="J579" i="1"/>
  <c r="K578" i="1"/>
  <c r="J578" i="1"/>
  <c r="K577" i="1"/>
  <c r="J577" i="1"/>
  <c r="K576" i="1"/>
  <c r="J576" i="1"/>
  <c r="K575" i="1"/>
  <c r="J575" i="1"/>
  <c r="K574" i="1"/>
  <c r="J574" i="1"/>
  <c r="K573" i="1"/>
  <c r="J573" i="1"/>
  <c r="K572" i="1"/>
  <c r="J572" i="1"/>
  <c r="K571" i="1"/>
  <c r="J571" i="1"/>
  <c r="K570" i="1"/>
  <c r="J570" i="1"/>
  <c r="K569" i="1"/>
  <c r="J569" i="1"/>
  <c r="K568" i="1"/>
  <c r="J568" i="1"/>
  <c r="K567" i="1"/>
  <c r="J567" i="1"/>
  <c r="K566" i="1"/>
  <c r="J566" i="1"/>
  <c r="K565" i="1"/>
  <c r="J565" i="1"/>
  <c r="K564" i="1"/>
  <c r="J564" i="1"/>
  <c r="K563" i="1"/>
  <c r="J563" i="1"/>
  <c r="K562" i="1"/>
  <c r="J562" i="1"/>
  <c r="K561" i="1"/>
  <c r="J561" i="1"/>
  <c r="K560" i="1"/>
  <c r="J560" i="1"/>
  <c r="K559" i="1"/>
  <c r="J559" i="1"/>
  <c r="K558" i="1"/>
  <c r="J558" i="1"/>
  <c r="K557" i="1"/>
  <c r="J557" i="1"/>
  <c r="K556" i="1"/>
  <c r="J556" i="1"/>
  <c r="K555" i="1"/>
  <c r="J555" i="1"/>
  <c r="K554" i="1"/>
  <c r="J554" i="1"/>
  <c r="K553" i="1"/>
  <c r="J553" i="1"/>
  <c r="K552" i="1"/>
  <c r="J552" i="1"/>
  <c r="K551" i="1"/>
  <c r="J551" i="1"/>
  <c r="K550" i="1"/>
  <c r="J550" i="1"/>
  <c r="K549" i="1"/>
  <c r="J549" i="1"/>
  <c r="K548" i="1"/>
  <c r="J548" i="1"/>
  <c r="K547" i="1"/>
  <c r="J547" i="1"/>
  <c r="K546" i="1"/>
  <c r="J546" i="1"/>
  <c r="K545" i="1"/>
  <c r="J545" i="1"/>
  <c r="K544" i="1"/>
  <c r="J544" i="1"/>
  <c r="K543" i="1"/>
  <c r="J543" i="1"/>
  <c r="K542" i="1"/>
  <c r="J542" i="1"/>
  <c r="K541" i="1"/>
  <c r="J541" i="1"/>
  <c r="K540" i="1"/>
  <c r="J540" i="1"/>
  <c r="K539" i="1"/>
  <c r="J539" i="1"/>
  <c r="K538" i="1"/>
  <c r="J538" i="1"/>
  <c r="K537" i="1"/>
  <c r="J537" i="1"/>
  <c r="K536" i="1"/>
  <c r="J536" i="1"/>
  <c r="K535" i="1"/>
  <c r="J535" i="1"/>
  <c r="K534" i="1"/>
  <c r="J534" i="1"/>
  <c r="K533" i="1"/>
  <c r="J533" i="1"/>
  <c r="K532" i="1"/>
  <c r="J532" i="1"/>
  <c r="K531" i="1"/>
  <c r="J531" i="1"/>
  <c r="K530" i="1"/>
  <c r="J530" i="1"/>
  <c r="K529" i="1"/>
  <c r="J529" i="1"/>
  <c r="K528" i="1"/>
  <c r="J528" i="1"/>
  <c r="K527" i="1"/>
  <c r="J527" i="1"/>
  <c r="K526" i="1"/>
  <c r="J526" i="1"/>
  <c r="K525" i="1"/>
  <c r="J525" i="1"/>
  <c r="K524" i="1"/>
  <c r="J524" i="1"/>
  <c r="K523" i="1"/>
  <c r="J523" i="1"/>
  <c r="K522" i="1"/>
  <c r="J522" i="1"/>
  <c r="K521" i="1"/>
  <c r="J521" i="1"/>
  <c r="K520" i="1"/>
  <c r="J520" i="1"/>
  <c r="K519" i="1"/>
  <c r="J519" i="1"/>
  <c r="K518" i="1"/>
  <c r="J518" i="1"/>
  <c r="K517" i="1"/>
  <c r="J517" i="1"/>
  <c r="K516" i="1"/>
  <c r="J516" i="1"/>
  <c r="K515" i="1"/>
  <c r="J515" i="1"/>
  <c r="K514" i="1"/>
  <c r="J514" i="1"/>
  <c r="K513" i="1"/>
  <c r="J513" i="1"/>
  <c r="K512" i="1"/>
  <c r="J512" i="1"/>
  <c r="K511" i="1"/>
  <c r="J511" i="1"/>
  <c r="K510" i="1"/>
  <c r="J510" i="1"/>
  <c r="K509" i="1"/>
  <c r="J509" i="1"/>
  <c r="K508" i="1"/>
  <c r="J508" i="1"/>
  <c r="K507" i="1"/>
  <c r="J507" i="1"/>
  <c r="K506" i="1"/>
  <c r="J506" i="1"/>
  <c r="K505" i="1"/>
  <c r="J505" i="1"/>
  <c r="K504" i="1"/>
  <c r="J504" i="1"/>
  <c r="K503" i="1"/>
  <c r="J503" i="1"/>
  <c r="K502" i="1"/>
  <c r="J502" i="1"/>
  <c r="K501" i="1"/>
  <c r="J501" i="1"/>
  <c r="K500" i="1"/>
  <c r="J500" i="1"/>
  <c r="K499" i="1"/>
  <c r="J499" i="1"/>
  <c r="K498" i="1"/>
  <c r="J498" i="1"/>
  <c r="K497" i="1"/>
  <c r="J497" i="1"/>
  <c r="K496" i="1"/>
  <c r="J496" i="1"/>
  <c r="K495" i="1"/>
  <c r="J495" i="1"/>
  <c r="K494" i="1"/>
  <c r="J494" i="1"/>
  <c r="K493" i="1"/>
  <c r="J493" i="1"/>
  <c r="K492" i="1"/>
  <c r="J492" i="1"/>
  <c r="K491" i="1"/>
  <c r="J491" i="1"/>
  <c r="K490" i="1"/>
  <c r="J490" i="1"/>
  <c r="K489" i="1"/>
  <c r="J489" i="1"/>
  <c r="K488" i="1"/>
  <c r="J488" i="1"/>
  <c r="K487" i="1"/>
  <c r="J487" i="1"/>
  <c r="K486" i="1"/>
  <c r="J486" i="1"/>
  <c r="K485" i="1"/>
  <c r="J485" i="1"/>
  <c r="K484" i="1"/>
  <c r="J484" i="1"/>
  <c r="K483" i="1"/>
  <c r="J483" i="1"/>
  <c r="K482" i="1"/>
  <c r="J482" i="1"/>
  <c r="K481" i="1"/>
  <c r="J481" i="1"/>
  <c r="K480" i="1"/>
  <c r="J480" i="1"/>
  <c r="K479" i="1"/>
  <c r="J479" i="1"/>
  <c r="K478" i="1"/>
  <c r="J478" i="1"/>
  <c r="K477" i="1"/>
  <c r="J477" i="1"/>
  <c r="K476" i="1"/>
  <c r="J476" i="1"/>
  <c r="K475" i="1"/>
  <c r="J475" i="1"/>
  <c r="K474" i="1"/>
  <c r="J474" i="1"/>
  <c r="K473" i="1"/>
  <c r="J473" i="1"/>
  <c r="K472" i="1"/>
  <c r="J472" i="1"/>
  <c r="K471" i="1"/>
  <c r="J471" i="1"/>
  <c r="K470" i="1"/>
  <c r="J470" i="1"/>
  <c r="K469" i="1"/>
  <c r="J469" i="1"/>
  <c r="K468" i="1"/>
  <c r="J468" i="1"/>
  <c r="K467" i="1"/>
  <c r="J467" i="1"/>
  <c r="K466" i="1"/>
  <c r="J466" i="1"/>
  <c r="K465" i="1"/>
  <c r="J465" i="1"/>
  <c r="K464" i="1"/>
  <c r="J464" i="1"/>
  <c r="K463" i="1"/>
  <c r="J463" i="1"/>
  <c r="K462" i="1"/>
  <c r="J462" i="1"/>
  <c r="K461" i="1"/>
  <c r="J461" i="1"/>
  <c r="K460" i="1"/>
  <c r="J460" i="1"/>
  <c r="K459" i="1"/>
  <c r="J459" i="1"/>
  <c r="K458" i="1"/>
  <c r="J458" i="1"/>
  <c r="K457" i="1"/>
  <c r="J457" i="1"/>
  <c r="K456" i="1"/>
  <c r="J456" i="1"/>
  <c r="K455" i="1"/>
  <c r="J455" i="1"/>
  <c r="K454" i="1"/>
  <c r="J454" i="1"/>
  <c r="K453" i="1"/>
  <c r="J453" i="1"/>
  <c r="K452" i="1"/>
  <c r="J452" i="1"/>
  <c r="K451" i="1"/>
  <c r="J451" i="1"/>
  <c r="K450" i="1"/>
  <c r="J450" i="1"/>
  <c r="K449" i="1"/>
  <c r="J449" i="1"/>
  <c r="K448" i="1"/>
  <c r="J448" i="1"/>
  <c r="K447" i="1"/>
  <c r="J447" i="1"/>
  <c r="K446" i="1"/>
  <c r="J446" i="1"/>
  <c r="K445" i="1"/>
  <c r="J445" i="1"/>
  <c r="K444" i="1"/>
  <c r="J444" i="1"/>
  <c r="K443" i="1"/>
  <c r="J443" i="1"/>
  <c r="K442" i="1"/>
  <c r="J442" i="1"/>
  <c r="K441" i="1"/>
  <c r="J441" i="1"/>
  <c r="K440" i="1"/>
  <c r="J440" i="1"/>
  <c r="K439" i="1"/>
  <c r="J439" i="1"/>
  <c r="K438" i="1"/>
  <c r="J438" i="1"/>
  <c r="K437" i="1"/>
  <c r="J437" i="1"/>
  <c r="K436" i="1"/>
  <c r="J436" i="1"/>
  <c r="K435" i="1"/>
  <c r="J435" i="1"/>
  <c r="K434" i="1"/>
  <c r="J434" i="1"/>
  <c r="K433" i="1"/>
  <c r="J433" i="1"/>
  <c r="K432" i="1"/>
  <c r="J432" i="1"/>
  <c r="K431" i="1"/>
  <c r="J431" i="1"/>
  <c r="K430" i="1"/>
  <c r="J430" i="1"/>
  <c r="K429" i="1"/>
  <c r="J429" i="1"/>
  <c r="K428" i="1"/>
  <c r="J428" i="1"/>
  <c r="K427" i="1"/>
  <c r="J427" i="1"/>
  <c r="K426" i="1"/>
  <c r="J426" i="1"/>
  <c r="K425" i="1"/>
  <c r="J425" i="1"/>
  <c r="K424" i="1"/>
  <c r="J424" i="1"/>
  <c r="K423" i="1"/>
  <c r="J423" i="1"/>
  <c r="K422" i="1"/>
  <c r="J422" i="1"/>
  <c r="K421" i="1"/>
  <c r="J421" i="1"/>
  <c r="K420" i="1"/>
  <c r="J420" i="1"/>
  <c r="K419" i="1"/>
  <c r="J419" i="1"/>
  <c r="K418" i="1"/>
  <c r="J418" i="1"/>
  <c r="K417" i="1"/>
  <c r="J417" i="1"/>
  <c r="K416" i="1"/>
  <c r="J416" i="1"/>
  <c r="K415" i="1"/>
  <c r="J415" i="1"/>
  <c r="K414" i="1"/>
  <c r="J414" i="1"/>
  <c r="K413" i="1"/>
  <c r="J413" i="1"/>
  <c r="K412" i="1"/>
  <c r="J412" i="1"/>
  <c r="K411" i="1"/>
  <c r="J411" i="1"/>
  <c r="K410" i="1"/>
  <c r="J410" i="1"/>
  <c r="K409" i="1"/>
  <c r="J409" i="1"/>
  <c r="K408" i="1"/>
  <c r="J408" i="1"/>
  <c r="K407" i="1"/>
  <c r="J407" i="1"/>
  <c r="K406" i="1"/>
  <c r="J406" i="1"/>
  <c r="K405" i="1"/>
  <c r="J405" i="1"/>
  <c r="K404" i="1"/>
  <c r="J404" i="1"/>
  <c r="K403" i="1"/>
  <c r="J403" i="1"/>
  <c r="K402" i="1"/>
  <c r="J402" i="1"/>
  <c r="K401" i="1"/>
  <c r="J401" i="1"/>
  <c r="K400" i="1"/>
  <c r="J400" i="1"/>
  <c r="K399" i="1"/>
  <c r="J399" i="1"/>
  <c r="K398" i="1"/>
  <c r="J398" i="1"/>
  <c r="K397" i="1"/>
  <c r="J397" i="1"/>
  <c r="K396" i="1"/>
  <c r="J396" i="1"/>
  <c r="K395" i="1"/>
  <c r="J395" i="1"/>
  <c r="K394" i="1"/>
  <c r="J394" i="1"/>
  <c r="K393" i="1"/>
  <c r="J393" i="1"/>
  <c r="K392" i="1"/>
  <c r="J392" i="1"/>
  <c r="K391" i="1"/>
  <c r="J391" i="1"/>
  <c r="K390" i="1"/>
  <c r="J390" i="1"/>
  <c r="K389" i="1"/>
  <c r="J389" i="1"/>
  <c r="K388" i="1"/>
  <c r="J388" i="1"/>
  <c r="K387" i="1"/>
  <c r="J387" i="1"/>
  <c r="K386" i="1"/>
  <c r="J386" i="1"/>
  <c r="K385" i="1"/>
  <c r="J385" i="1"/>
  <c r="K384" i="1"/>
  <c r="J384" i="1"/>
  <c r="K383" i="1"/>
  <c r="J383" i="1"/>
  <c r="K382" i="1"/>
  <c r="J382" i="1"/>
  <c r="K381" i="1"/>
  <c r="J381" i="1"/>
  <c r="K380" i="1"/>
  <c r="J380" i="1"/>
  <c r="K379" i="1"/>
  <c r="J379" i="1"/>
  <c r="K378" i="1"/>
  <c r="J378" i="1"/>
  <c r="K377" i="1"/>
  <c r="J377" i="1"/>
  <c r="K376" i="1"/>
  <c r="J376" i="1"/>
  <c r="K375" i="1"/>
  <c r="J375" i="1"/>
  <c r="K374" i="1"/>
  <c r="J374" i="1"/>
  <c r="K373" i="1"/>
  <c r="J373" i="1"/>
  <c r="K372" i="1"/>
  <c r="J372" i="1"/>
  <c r="K371" i="1"/>
  <c r="J371" i="1"/>
  <c r="K370" i="1"/>
  <c r="J370" i="1"/>
  <c r="K369" i="1"/>
  <c r="J369" i="1"/>
  <c r="K368" i="1"/>
  <c r="J368" i="1"/>
  <c r="K367" i="1"/>
  <c r="J367" i="1"/>
  <c r="K366" i="1"/>
  <c r="J366" i="1"/>
  <c r="K365" i="1"/>
  <c r="J365" i="1"/>
  <c r="K364" i="1"/>
  <c r="J364" i="1"/>
  <c r="K363" i="1"/>
  <c r="J363" i="1"/>
  <c r="K362" i="1"/>
  <c r="J362" i="1"/>
  <c r="K361" i="1"/>
  <c r="J361" i="1"/>
  <c r="K360" i="1"/>
  <c r="J360" i="1"/>
  <c r="K359" i="1"/>
  <c r="J359" i="1"/>
  <c r="K358" i="1"/>
  <c r="J358" i="1"/>
  <c r="K357" i="1"/>
  <c r="J357" i="1"/>
  <c r="K356" i="1"/>
  <c r="J356" i="1"/>
  <c r="K355" i="1"/>
  <c r="J355" i="1"/>
  <c r="K354" i="1"/>
  <c r="J354" i="1"/>
  <c r="K353" i="1"/>
  <c r="J353" i="1"/>
  <c r="K352" i="1"/>
  <c r="J352" i="1"/>
  <c r="K351" i="1"/>
  <c r="J351" i="1"/>
  <c r="K350" i="1"/>
  <c r="J350" i="1"/>
  <c r="K349" i="1"/>
  <c r="J349" i="1"/>
  <c r="K348" i="1"/>
  <c r="J348" i="1"/>
  <c r="K347" i="1"/>
  <c r="J347" i="1"/>
  <c r="K346" i="1"/>
  <c r="J346" i="1"/>
  <c r="K345" i="1"/>
  <c r="J345" i="1"/>
  <c r="K344" i="1"/>
  <c r="J344" i="1"/>
  <c r="K343" i="1"/>
  <c r="J343" i="1"/>
  <c r="K342" i="1"/>
  <c r="J342" i="1"/>
  <c r="K341" i="1"/>
  <c r="J341" i="1"/>
  <c r="K340" i="1"/>
  <c r="J340" i="1"/>
  <c r="K339" i="1"/>
  <c r="J339" i="1"/>
  <c r="K338" i="1"/>
  <c r="J338" i="1"/>
  <c r="K337" i="1"/>
  <c r="J337" i="1"/>
  <c r="K336" i="1"/>
  <c r="J336" i="1"/>
  <c r="K335" i="1"/>
  <c r="J335" i="1"/>
  <c r="K334" i="1"/>
  <c r="J334" i="1"/>
  <c r="K333" i="1"/>
  <c r="J333" i="1"/>
  <c r="K332" i="1"/>
  <c r="J332" i="1"/>
  <c r="K331" i="1"/>
  <c r="J331" i="1"/>
  <c r="K330" i="1"/>
  <c r="J330" i="1"/>
  <c r="K329" i="1"/>
  <c r="J329" i="1"/>
  <c r="K328" i="1"/>
  <c r="J328" i="1"/>
  <c r="K327" i="1"/>
  <c r="J327" i="1"/>
  <c r="K326" i="1"/>
  <c r="J326" i="1"/>
  <c r="K325" i="1"/>
  <c r="J325" i="1"/>
  <c r="K324" i="1"/>
  <c r="J324" i="1"/>
  <c r="K323" i="1"/>
  <c r="J323" i="1"/>
  <c r="K322" i="1"/>
  <c r="J322" i="1"/>
  <c r="K321" i="1"/>
  <c r="J321" i="1"/>
  <c r="K320" i="1"/>
  <c r="J320" i="1"/>
  <c r="K319" i="1"/>
  <c r="J319" i="1"/>
  <c r="K318" i="1"/>
  <c r="J318" i="1"/>
  <c r="K317" i="1"/>
  <c r="J317" i="1"/>
  <c r="K316" i="1"/>
  <c r="J316" i="1"/>
  <c r="K315" i="1"/>
  <c r="J315" i="1"/>
  <c r="K314" i="1"/>
  <c r="J314" i="1"/>
  <c r="K313" i="1"/>
  <c r="J313" i="1"/>
  <c r="K312" i="1"/>
  <c r="J312" i="1"/>
  <c r="K311" i="1"/>
  <c r="J311" i="1"/>
  <c r="K310" i="1"/>
  <c r="J310" i="1"/>
  <c r="K309" i="1"/>
  <c r="J309" i="1"/>
  <c r="K308" i="1"/>
  <c r="J308" i="1"/>
  <c r="K307" i="1"/>
  <c r="J307" i="1"/>
  <c r="K306" i="1"/>
  <c r="J306" i="1"/>
  <c r="K305" i="1"/>
  <c r="J305" i="1"/>
  <c r="K304" i="1"/>
  <c r="J304" i="1"/>
  <c r="K303" i="1"/>
  <c r="J303" i="1"/>
  <c r="K302" i="1"/>
  <c r="J302" i="1"/>
  <c r="K301" i="1"/>
  <c r="J301" i="1"/>
  <c r="K300" i="1"/>
  <c r="J300" i="1"/>
  <c r="K299" i="1"/>
  <c r="J299" i="1"/>
  <c r="K298" i="1"/>
  <c r="J298" i="1"/>
  <c r="K297" i="1"/>
  <c r="J297" i="1"/>
  <c r="K296" i="1"/>
  <c r="J296" i="1"/>
  <c r="K295" i="1"/>
  <c r="J295" i="1"/>
  <c r="K294" i="1"/>
  <c r="J294" i="1"/>
  <c r="K293" i="1"/>
  <c r="J293" i="1"/>
  <c r="K292" i="1"/>
  <c r="J292" i="1"/>
  <c r="K291" i="1"/>
  <c r="J291" i="1"/>
  <c r="K290" i="1"/>
  <c r="J290" i="1"/>
  <c r="K289" i="1"/>
  <c r="J289" i="1"/>
  <c r="K288" i="1"/>
  <c r="J288" i="1"/>
  <c r="K287" i="1"/>
  <c r="J287" i="1"/>
  <c r="K286" i="1"/>
  <c r="J286" i="1"/>
  <c r="K285" i="1"/>
  <c r="J285" i="1"/>
  <c r="K284" i="1"/>
  <c r="J284" i="1"/>
  <c r="K283" i="1"/>
  <c r="J283" i="1"/>
  <c r="K282" i="1"/>
  <c r="J282" i="1"/>
  <c r="K281" i="1"/>
  <c r="J281" i="1"/>
  <c r="K280" i="1"/>
  <c r="J280" i="1"/>
  <c r="K279" i="1"/>
  <c r="J279" i="1"/>
  <c r="K278" i="1"/>
  <c r="J278" i="1"/>
  <c r="K277" i="1"/>
  <c r="J277" i="1"/>
  <c r="K276" i="1"/>
  <c r="J276" i="1"/>
  <c r="K275" i="1"/>
  <c r="J275" i="1"/>
  <c r="K274" i="1"/>
  <c r="J274" i="1"/>
  <c r="K273" i="1"/>
  <c r="J273" i="1"/>
  <c r="K272" i="1"/>
  <c r="J272" i="1"/>
  <c r="K271" i="1"/>
  <c r="J271" i="1"/>
  <c r="K270" i="1"/>
  <c r="J270" i="1"/>
  <c r="K269" i="1"/>
  <c r="J269" i="1"/>
  <c r="K268" i="1"/>
  <c r="J268" i="1"/>
  <c r="K267" i="1"/>
  <c r="J267" i="1"/>
  <c r="K266" i="1"/>
  <c r="J266" i="1"/>
  <c r="K265" i="1"/>
  <c r="J265" i="1"/>
  <c r="K264" i="1"/>
  <c r="J264" i="1"/>
  <c r="K263" i="1"/>
  <c r="J263" i="1"/>
  <c r="K262" i="1"/>
  <c r="J262" i="1"/>
  <c r="K261" i="1"/>
  <c r="J261" i="1"/>
  <c r="K260" i="1"/>
  <c r="J260" i="1"/>
  <c r="K259" i="1"/>
  <c r="J259" i="1"/>
  <c r="K258" i="1"/>
  <c r="J258" i="1"/>
  <c r="K257" i="1"/>
  <c r="J257" i="1"/>
  <c r="K256" i="1"/>
  <c r="J256" i="1"/>
  <c r="K255" i="1"/>
  <c r="J255" i="1"/>
  <c r="K254" i="1"/>
  <c r="J254" i="1"/>
  <c r="K253" i="1"/>
  <c r="J253" i="1"/>
  <c r="K252" i="1"/>
  <c r="J252" i="1"/>
  <c r="K251" i="1"/>
  <c r="J251" i="1"/>
  <c r="K250" i="1"/>
  <c r="J250" i="1"/>
  <c r="K249" i="1"/>
  <c r="J249" i="1"/>
  <c r="K248" i="1"/>
  <c r="J248" i="1"/>
  <c r="K247" i="1"/>
  <c r="J247" i="1"/>
  <c r="K246" i="1"/>
  <c r="J246" i="1"/>
  <c r="K245" i="1"/>
  <c r="J245" i="1"/>
  <c r="K244" i="1"/>
  <c r="J244" i="1"/>
  <c r="K243" i="1"/>
  <c r="J243" i="1"/>
  <c r="K242" i="1"/>
  <c r="J242" i="1"/>
  <c r="K241" i="1"/>
  <c r="J241" i="1"/>
  <c r="K240" i="1"/>
  <c r="J240" i="1"/>
  <c r="K239" i="1"/>
  <c r="J239" i="1"/>
  <c r="K238" i="1"/>
  <c r="J238" i="1"/>
  <c r="K237" i="1"/>
  <c r="J237" i="1"/>
  <c r="K236" i="1"/>
  <c r="J236" i="1"/>
  <c r="K235" i="1"/>
  <c r="J235" i="1"/>
  <c r="K234" i="1"/>
  <c r="J234" i="1"/>
  <c r="K233" i="1"/>
  <c r="J233" i="1"/>
  <c r="K232" i="1"/>
  <c r="J232" i="1"/>
  <c r="K231" i="1"/>
  <c r="J231" i="1"/>
  <c r="K230" i="1"/>
  <c r="J230" i="1"/>
  <c r="K229" i="1"/>
  <c r="J229" i="1"/>
  <c r="K228" i="1"/>
  <c r="J228" i="1"/>
  <c r="K227" i="1"/>
  <c r="J227" i="1"/>
  <c r="K226" i="1"/>
  <c r="J226" i="1"/>
  <c r="K225" i="1"/>
  <c r="J225" i="1"/>
  <c r="K224" i="1"/>
  <c r="J224" i="1"/>
  <c r="K223" i="1"/>
  <c r="J223" i="1"/>
  <c r="K222" i="1"/>
  <c r="J222" i="1"/>
  <c r="K221" i="1"/>
  <c r="J221" i="1"/>
  <c r="K220" i="1"/>
  <c r="J220" i="1"/>
  <c r="K219" i="1"/>
  <c r="J219" i="1"/>
  <c r="K218" i="1"/>
  <c r="J218" i="1"/>
  <c r="K217" i="1"/>
  <c r="J217" i="1"/>
  <c r="K216" i="1"/>
  <c r="J216" i="1"/>
  <c r="K215" i="1"/>
  <c r="J215" i="1"/>
  <c r="K214" i="1"/>
  <c r="J214" i="1"/>
  <c r="K213" i="1"/>
  <c r="J213" i="1"/>
  <c r="K212" i="1"/>
  <c r="J212" i="1"/>
  <c r="K211" i="1"/>
  <c r="J211" i="1"/>
  <c r="K210" i="1"/>
  <c r="J210" i="1"/>
  <c r="K209" i="1"/>
  <c r="J209" i="1"/>
  <c r="K208" i="1"/>
  <c r="J208" i="1"/>
  <c r="K207" i="1"/>
  <c r="J207" i="1"/>
  <c r="K206" i="1"/>
  <c r="J206" i="1"/>
  <c r="K205" i="1"/>
  <c r="J205" i="1"/>
  <c r="K204" i="1"/>
  <c r="J204" i="1"/>
  <c r="K203" i="1"/>
  <c r="J203" i="1"/>
  <c r="K202" i="1"/>
  <c r="J202" i="1"/>
  <c r="K201" i="1"/>
  <c r="J201" i="1"/>
  <c r="K200" i="1"/>
  <c r="J200" i="1"/>
  <c r="K199" i="1"/>
  <c r="J199" i="1"/>
  <c r="K198" i="1"/>
  <c r="J198" i="1"/>
  <c r="K197" i="1"/>
  <c r="J197" i="1"/>
  <c r="K196" i="1"/>
  <c r="J196" i="1"/>
  <c r="K195" i="1"/>
  <c r="J195" i="1"/>
  <c r="K194" i="1"/>
  <c r="J194" i="1"/>
  <c r="K193" i="1"/>
  <c r="J193" i="1"/>
  <c r="K192" i="1"/>
  <c r="J192" i="1"/>
  <c r="K191" i="1"/>
  <c r="J191" i="1"/>
  <c r="K190" i="1"/>
  <c r="J190" i="1"/>
  <c r="K189" i="1"/>
  <c r="J189" i="1"/>
  <c r="K188" i="1"/>
  <c r="J188" i="1"/>
  <c r="K187" i="1"/>
  <c r="J187" i="1"/>
  <c r="K186" i="1"/>
  <c r="J186" i="1"/>
  <c r="K185" i="1"/>
  <c r="J185" i="1"/>
  <c r="K184" i="1"/>
  <c r="J184" i="1"/>
  <c r="K183" i="1"/>
  <c r="J183" i="1"/>
  <c r="K182" i="1"/>
  <c r="J182" i="1"/>
  <c r="K181" i="1"/>
  <c r="J181" i="1"/>
  <c r="K180" i="1"/>
  <c r="J180" i="1"/>
  <c r="K179" i="1"/>
  <c r="J179" i="1"/>
  <c r="K178" i="1"/>
  <c r="J178" i="1"/>
  <c r="K177" i="1"/>
  <c r="J177" i="1"/>
  <c r="K176" i="1"/>
  <c r="J176" i="1"/>
  <c r="K175" i="1"/>
  <c r="J175" i="1"/>
  <c r="K174" i="1"/>
  <c r="J174" i="1"/>
  <c r="K173" i="1"/>
  <c r="J173" i="1"/>
  <c r="K172" i="1"/>
  <c r="J172" i="1"/>
  <c r="K171" i="1"/>
  <c r="J171" i="1"/>
  <c r="K170" i="1"/>
  <c r="J170" i="1"/>
  <c r="K169" i="1"/>
  <c r="J169" i="1"/>
  <c r="K168" i="1"/>
  <c r="J168" i="1"/>
  <c r="K167" i="1"/>
  <c r="J167" i="1"/>
  <c r="K166" i="1"/>
  <c r="J166" i="1"/>
  <c r="K165" i="1"/>
  <c r="J165" i="1"/>
  <c r="K164" i="1"/>
  <c r="J164" i="1"/>
  <c r="K163" i="1"/>
  <c r="J163" i="1"/>
  <c r="K162" i="1"/>
  <c r="J162" i="1"/>
  <c r="K161" i="1"/>
  <c r="J161" i="1"/>
  <c r="K160" i="1"/>
  <c r="J160" i="1"/>
  <c r="K159" i="1"/>
  <c r="J159" i="1"/>
  <c r="K158" i="1"/>
  <c r="J158" i="1"/>
  <c r="K157" i="1"/>
  <c r="J157" i="1"/>
  <c r="K156" i="1"/>
  <c r="J156" i="1"/>
  <c r="K155" i="1"/>
  <c r="J155" i="1"/>
  <c r="K154" i="1"/>
  <c r="J154" i="1"/>
  <c r="K153" i="1"/>
  <c r="J153" i="1"/>
  <c r="K152" i="1"/>
  <c r="J152" i="1"/>
  <c r="K151" i="1"/>
  <c r="J151" i="1"/>
  <c r="K150" i="1"/>
  <c r="J150" i="1"/>
  <c r="K149" i="1"/>
  <c r="J149" i="1"/>
  <c r="K148" i="1"/>
  <c r="J148" i="1"/>
  <c r="K147" i="1"/>
  <c r="J147" i="1"/>
  <c r="K146" i="1"/>
  <c r="J146" i="1"/>
  <c r="K145" i="1"/>
  <c r="J145" i="1"/>
  <c r="K144" i="1"/>
  <c r="J144" i="1"/>
  <c r="K143" i="1"/>
  <c r="J143" i="1"/>
  <c r="K142" i="1"/>
  <c r="J142" i="1"/>
  <c r="K141" i="1"/>
  <c r="J141" i="1"/>
  <c r="K140" i="1"/>
  <c r="J140" i="1"/>
  <c r="K139" i="1"/>
  <c r="J139" i="1"/>
  <c r="K138" i="1"/>
  <c r="J138" i="1"/>
  <c r="K137" i="1"/>
  <c r="J137" i="1"/>
  <c r="K136" i="1"/>
  <c r="J136" i="1"/>
  <c r="K135" i="1"/>
  <c r="J135" i="1"/>
  <c r="K134" i="1"/>
  <c r="J134" i="1"/>
  <c r="K133" i="1"/>
  <c r="J133" i="1"/>
  <c r="K132" i="1"/>
  <c r="J132" i="1"/>
  <c r="K131" i="1"/>
  <c r="J131" i="1"/>
  <c r="K130" i="1"/>
  <c r="J130" i="1"/>
  <c r="K129" i="1"/>
  <c r="J129" i="1"/>
  <c r="K128" i="1"/>
  <c r="J128" i="1"/>
  <c r="K127" i="1"/>
  <c r="J127" i="1"/>
  <c r="K126" i="1"/>
  <c r="J126" i="1"/>
  <c r="K125" i="1"/>
  <c r="J125" i="1"/>
  <c r="K124" i="1"/>
  <c r="J124" i="1"/>
  <c r="K123" i="1"/>
  <c r="J123" i="1"/>
  <c r="K122" i="1"/>
  <c r="J122" i="1"/>
  <c r="K121" i="1"/>
  <c r="J121" i="1"/>
  <c r="K120" i="1"/>
  <c r="J120" i="1"/>
  <c r="K119" i="1"/>
  <c r="J119" i="1"/>
  <c r="K118" i="1"/>
  <c r="J118" i="1"/>
  <c r="K117" i="1"/>
  <c r="J117" i="1"/>
  <c r="K116" i="1"/>
  <c r="J116" i="1"/>
  <c r="K115" i="1"/>
  <c r="J115" i="1"/>
  <c r="K114" i="1"/>
  <c r="J114" i="1"/>
  <c r="K113" i="1"/>
  <c r="J113" i="1"/>
  <c r="K112" i="1"/>
  <c r="J112" i="1"/>
  <c r="K111" i="1"/>
  <c r="J111" i="1"/>
  <c r="K110" i="1"/>
  <c r="J110" i="1"/>
  <c r="K109" i="1"/>
  <c r="J109" i="1"/>
  <c r="K108" i="1"/>
  <c r="J108" i="1"/>
  <c r="K107" i="1"/>
  <c r="J107" i="1"/>
  <c r="K106" i="1"/>
  <c r="J106" i="1"/>
  <c r="K105" i="1"/>
  <c r="J105" i="1"/>
  <c r="K104" i="1"/>
  <c r="J104" i="1"/>
  <c r="K103" i="1"/>
  <c r="J103" i="1"/>
  <c r="K102" i="1"/>
  <c r="J102" i="1"/>
  <c r="K101" i="1"/>
  <c r="J101" i="1"/>
  <c r="K100" i="1"/>
  <c r="J100" i="1"/>
  <c r="K99" i="1"/>
  <c r="J99" i="1"/>
  <c r="K98" i="1"/>
  <c r="J98" i="1"/>
  <c r="K97" i="1"/>
  <c r="J97" i="1"/>
  <c r="K96" i="1"/>
  <c r="J96" i="1"/>
  <c r="K95" i="1"/>
  <c r="J95" i="1"/>
  <c r="K94" i="1"/>
  <c r="J94" i="1"/>
  <c r="K93" i="1"/>
  <c r="J93" i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K68" i="1"/>
  <c r="J68" i="1"/>
  <c r="K67" i="1"/>
  <c r="J67" i="1"/>
  <c r="K66" i="1"/>
  <c r="J66" i="1"/>
  <c r="K65" i="1"/>
  <c r="J65" i="1"/>
  <c r="K64" i="1"/>
  <c r="J64" i="1"/>
  <c r="K63" i="1"/>
  <c r="J63" i="1"/>
  <c r="K62" i="1"/>
  <c r="J62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K36" i="1"/>
  <c r="J36" i="1"/>
  <c r="K35" i="1"/>
  <c r="J35" i="1"/>
  <c r="K34" i="1"/>
  <c r="J34" i="1"/>
  <c r="K33" i="1"/>
  <c r="J33" i="1"/>
  <c r="K32" i="1"/>
  <c r="J32" i="1"/>
  <c r="K31" i="1"/>
  <c r="J31" i="1"/>
  <c r="K30" i="1"/>
  <c r="J30" i="1"/>
  <c r="P29" i="1"/>
  <c r="O29" i="1"/>
  <c r="N29" i="1"/>
  <c r="K29" i="1"/>
  <c r="J29" i="1"/>
  <c r="P28" i="1"/>
  <c r="O28" i="1"/>
  <c r="N28" i="1"/>
  <c r="K28" i="1"/>
  <c r="J28" i="1"/>
  <c r="P27" i="1"/>
  <c r="O27" i="1"/>
  <c r="N27" i="1"/>
  <c r="K27" i="1"/>
  <c r="J27" i="1"/>
  <c r="P26" i="1"/>
  <c r="O26" i="1"/>
  <c r="N26" i="1"/>
  <c r="K26" i="1"/>
  <c r="J26" i="1"/>
  <c r="P25" i="1"/>
  <c r="O25" i="1"/>
  <c r="N25" i="1"/>
  <c r="K25" i="1"/>
  <c r="J25" i="1"/>
  <c r="K24" i="1"/>
  <c r="J24" i="1"/>
  <c r="K23" i="1"/>
  <c r="J23" i="1"/>
  <c r="K22" i="1"/>
  <c r="J22" i="1"/>
  <c r="O21" i="1"/>
  <c r="N21" i="1"/>
  <c r="K21" i="1"/>
  <c r="J21" i="1"/>
  <c r="O20" i="1"/>
  <c r="N20" i="1"/>
  <c r="K20" i="1"/>
  <c r="J20" i="1"/>
  <c r="O19" i="1"/>
  <c r="N19" i="1"/>
  <c r="K19" i="1"/>
  <c r="J19" i="1"/>
  <c r="O18" i="1"/>
  <c r="N18" i="1"/>
  <c r="K18" i="1"/>
  <c r="J18" i="1"/>
  <c r="O17" i="1"/>
  <c r="N17" i="1"/>
  <c r="K17" i="1"/>
  <c r="J17" i="1"/>
  <c r="O16" i="1"/>
  <c r="N16" i="1"/>
  <c r="K16" i="1"/>
  <c r="J16" i="1"/>
  <c r="O15" i="1"/>
  <c r="N15" i="1"/>
  <c r="K15" i="1"/>
  <c r="J15" i="1"/>
  <c r="O14" i="1"/>
  <c r="N14" i="1"/>
  <c r="K14" i="1"/>
  <c r="J14" i="1"/>
  <c r="O13" i="1"/>
  <c r="N13" i="1"/>
  <c r="K13" i="1"/>
  <c r="J13" i="1"/>
  <c r="K12" i="1"/>
  <c r="J12" i="1"/>
  <c r="K11" i="1"/>
  <c r="J11" i="1"/>
  <c r="N10" i="1"/>
  <c r="K10" i="1"/>
  <c r="J10" i="1"/>
  <c r="N9" i="1"/>
  <c r="K9" i="1"/>
  <c r="J9" i="1"/>
  <c r="N8" i="1"/>
  <c r="K8" i="1"/>
  <c r="J8" i="1"/>
  <c r="N7" i="1"/>
  <c r="K7" i="1"/>
  <c r="J7" i="1"/>
  <c r="K6" i="1"/>
  <c r="J6" i="1"/>
  <c r="K5" i="1"/>
  <c r="J5" i="1"/>
  <c r="O4" i="1"/>
  <c r="N4" i="1"/>
  <c r="K4" i="1"/>
  <c r="J4" i="1"/>
  <c r="O3" i="1"/>
  <c r="N3" i="1"/>
  <c r="K3" i="1"/>
  <c r="J3" i="1"/>
  <c r="K2" i="1"/>
  <c r="J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A6166D-07B9-4097-A849-D1C19B1594C0}" keepAlive="1" name="Consulta - Table2" description="Conexión a la consulta 'Table2' en el libro." type="5" refreshedVersion="8" background="1" saveData="1">
    <dbPr connection="Provider=Microsoft.Mashup.OleDb.1;Data Source=$Workbook$;Location=Table2;Extended Properties=&quot;&quot;" command="SELECT * FROM [Table2]"/>
  </connection>
  <connection id="2" xr16:uid="{0DA490FD-C62D-47D8-97AC-5BF4AA246B9B}" keepAlive="1" name="Consulta - Table2 (2)" description="Conexión a la consulta 'Table2 (2)' en el libro." type="5" refreshedVersion="8" background="1" saveData="1">
    <dbPr connection="Provider=Microsoft.Mashup.OleDb.1;Data Source=$Workbook$;Location=&quot;Table2 (2)&quot;;Extended Properties=&quot;&quot;" command="SELECT * FROM [Table2 (2)]"/>
  </connection>
</connections>
</file>

<file path=xl/sharedStrings.xml><?xml version="1.0" encoding="utf-8"?>
<sst xmlns="http://schemas.openxmlformats.org/spreadsheetml/2006/main" count="13876" uniqueCount="243">
  <si>
    <t>Vendedor</t>
  </si>
  <si>
    <t>Territorio</t>
  </si>
  <si>
    <t>Socio</t>
  </si>
  <si>
    <t>Cantidad</t>
  </si>
  <si>
    <t>IFH Peru LTD</t>
  </si>
  <si>
    <t>Norte</t>
  </si>
  <si>
    <t>Ringo</t>
  </si>
  <si>
    <t>John</t>
  </si>
  <si>
    <t>Neptunia, S.A.</t>
  </si>
  <si>
    <t>Sur</t>
  </si>
  <si>
    <t>George</t>
  </si>
  <si>
    <t>Pacifico Peruano Suiza</t>
  </si>
  <si>
    <t>Paul</t>
  </si>
  <si>
    <t>INCA TOPS S.A.</t>
  </si>
  <si>
    <t>BOTICAS &amp; SALUD S.A.C.</t>
  </si>
  <si>
    <t>CLINICA INTERNACIONAL S.A.</t>
  </si>
  <si>
    <t>NEXTEL PERU S.A.</t>
  </si>
  <si>
    <t>HIDROSTAL S.A.</t>
  </si>
  <si>
    <t>OMNIA SOLUTION S.A.</t>
  </si>
  <si>
    <t>TEXFINA S.A.</t>
  </si>
  <si>
    <t>Almacenes Santa Clara, S.A.</t>
  </si>
  <si>
    <t>HAUG S.A.</t>
  </si>
  <si>
    <t>Nissan Maquinarias, S.A.</t>
  </si>
  <si>
    <t>Unique, S.A.</t>
  </si>
  <si>
    <t>SCOTIABANK PERU</t>
  </si>
  <si>
    <t>LA ARENA S.A.</t>
  </si>
  <si>
    <t>CIA INDUSTRIAL NUEVO MUNDO S.A.</t>
  </si>
  <si>
    <t>LAIVE S.A.</t>
  </si>
  <si>
    <t>Delosi, S.A.</t>
  </si>
  <si>
    <t>Pluspetrol Perú Corporation, S.A.</t>
  </si>
  <si>
    <t>PANA AUTOS S.A.</t>
  </si>
  <si>
    <t>CORPORACION GRAFICA NAVARRETE</t>
  </si>
  <si>
    <t>NGRESTAURANTS</t>
  </si>
  <si>
    <t>CERAMICOS PERUANOS S.A.</t>
  </si>
  <si>
    <t>CONFECCIONES TEXTIMAX S.A.</t>
  </si>
  <si>
    <t>DROKASA PERU S.A.</t>
  </si>
  <si>
    <t>CEMENTO SUR S.A.</t>
  </si>
  <si>
    <t>Compañía Minera Poderosa, S.A.</t>
  </si>
  <si>
    <t>H V CONTRATISTAS S.A.</t>
  </si>
  <si>
    <t>Supermercados Peruanos S.A.</t>
  </si>
  <si>
    <t>Eckerd Perú, S.A.</t>
  </si>
  <si>
    <t>FORZA S.A.</t>
  </si>
  <si>
    <t>Profuturo AFP</t>
  </si>
  <si>
    <t>Synapsis del Perú</t>
  </si>
  <si>
    <t>LOS PORTALES S.A.</t>
  </si>
  <si>
    <t>CORPORACION LINDLEY S.A.</t>
  </si>
  <si>
    <t>Sodimac Perú, S.A.</t>
  </si>
  <si>
    <t>SANDOVAL S.A. - DINET</t>
  </si>
  <si>
    <t>HUDBAY PERU S.A.C.</t>
  </si>
  <si>
    <t>LUCKY S.A.C.</t>
  </si>
  <si>
    <t>MOLINOS &amp; CIA S.A.</t>
  </si>
  <si>
    <t>INMOBILIARI S.A.</t>
  </si>
  <si>
    <t>CROSLAND LOGISTICA</t>
  </si>
  <si>
    <t>Hermes Transportes Blindados S.A.</t>
  </si>
  <si>
    <t>MAESTRO PERU S.A.</t>
  </si>
  <si>
    <t>CINEPLEX S.A</t>
  </si>
  <si>
    <t>SIERRA MACHINES S.A.C.</t>
  </si>
  <si>
    <t>TEXTIL DEL VALLE S.A.</t>
  </si>
  <si>
    <t>Minsur, S.A.</t>
  </si>
  <si>
    <t>Lima Airport Partner</t>
  </si>
  <si>
    <t>MANUFACTURAS ELECTRICAS S.A.</t>
  </si>
  <si>
    <t>Norsemont Perú, S.A.C.</t>
  </si>
  <si>
    <t>Petrobras Energía Perú, S.A.</t>
  </si>
  <si>
    <t>Diners Club Perú, S.A</t>
  </si>
  <si>
    <t>San Fernando, S.A.</t>
  </si>
  <si>
    <t>Union de Concreteras S.A.</t>
  </si>
  <si>
    <t>EUROMOTORS S.A.</t>
  </si>
  <si>
    <t>COM S.A.</t>
  </si>
  <si>
    <t>PERUFARMA S.A.</t>
  </si>
  <si>
    <t>CALATEL PERU</t>
  </si>
  <si>
    <t>Hipermercados Metro S.A</t>
  </si>
  <si>
    <t>ALS PERU</t>
  </si>
  <si>
    <t>COMPARTAMOS FINANCIERA S.A.</t>
  </si>
  <si>
    <t>Tecnológica de Alimentos, S.A.</t>
  </si>
  <si>
    <t>LINEA AMARILLA S.A.C.</t>
  </si>
  <si>
    <t>ARPL Tecnologia Industrial S.A.</t>
  </si>
  <si>
    <t>SGS del Peru, S.A.C</t>
  </si>
  <si>
    <t>Buenaventura Ingenieros, S.A.</t>
  </si>
  <si>
    <t>Producto</t>
  </si>
  <si>
    <t>Accesorios</t>
  </si>
  <si>
    <t>Electrodomésticos</t>
  </si>
  <si>
    <t>Juguetes</t>
  </si>
  <si>
    <t>Calzado</t>
  </si>
  <si>
    <t>Ventas</t>
  </si>
  <si>
    <t>María</t>
  </si>
  <si>
    <t>Javier</t>
  </si>
  <si>
    <t>Edwin</t>
  </si>
  <si>
    <t>Rosa</t>
  </si>
  <si>
    <t>Marco</t>
  </si>
  <si>
    <t>Nadia</t>
  </si>
  <si>
    <t>José</t>
  </si>
  <si>
    <t>Nora</t>
  </si>
  <si>
    <t>Víctor</t>
  </si>
  <si>
    <t>Viajes</t>
  </si>
  <si>
    <t>Lugar</t>
  </si>
  <si>
    <t>Lima, Peru</t>
  </si>
  <si>
    <t>Trujillo, Peru</t>
  </si>
  <si>
    <t>Huancayo, Peru</t>
  </si>
  <si>
    <t>Loreto, Peru</t>
  </si>
  <si>
    <t>Arequipa, Peru</t>
  </si>
  <si>
    <t>Cusco, Peru</t>
  </si>
  <si>
    <t>Cajamarca, Peru</t>
  </si>
  <si>
    <t>Piura, Peru</t>
  </si>
  <si>
    <t>Cliente</t>
  </si>
  <si>
    <t>Fecha</t>
  </si>
  <si>
    <t>Empresa Minera La Aventura</t>
  </si>
  <si>
    <t>Mina Linda Gente</t>
  </si>
  <si>
    <t>Alcaldía Regional</t>
  </si>
  <si>
    <t>Asociación de Fondos de Pensiones</t>
  </si>
  <si>
    <t>Ajíes Rellenos Inc.</t>
  </si>
  <si>
    <t>Américana de Contactos</t>
  </si>
  <si>
    <t>AUSTRAL Inc</t>
  </si>
  <si>
    <t>Avalora S.A.C</t>
  </si>
  <si>
    <t>Grupo Central</t>
  </si>
  <si>
    <t xml:space="preserve">Maquillajes Unidos </t>
  </si>
  <si>
    <t>Operadores de Gas</t>
  </si>
  <si>
    <t>Minera Norteña</t>
  </si>
  <si>
    <t>Fabrica de Software</t>
  </si>
  <si>
    <t>Minera Aventurera</t>
  </si>
  <si>
    <t>Tractores Unidos</t>
  </si>
  <si>
    <t>Universidad La Modernidad</t>
  </si>
  <si>
    <t>TELCO Internacional</t>
  </si>
  <si>
    <t>Minera de Cobre Supremo</t>
  </si>
  <si>
    <t>San Martin Inc</t>
  </si>
  <si>
    <t>RIMAC Corp</t>
  </si>
  <si>
    <t>Radios Unidos por el país</t>
  </si>
  <si>
    <t>Minera Hatun Exitokuna</t>
  </si>
  <si>
    <t>Hoteles Corp</t>
  </si>
  <si>
    <t>Seguros Positivos</t>
  </si>
  <si>
    <t>JJC Contratistas</t>
  </si>
  <si>
    <t>Seguros Internos SAC</t>
  </si>
  <si>
    <t>Plasticos SAC</t>
  </si>
  <si>
    <t xml:space="preserve">Gloria </t>
  </si>
  <si>
    <t>Grandes Montañas</t>
  </si>
  <si>
    <t>Seguridad Integral Corp</t>
  </si>
  <si>
    <t>Gloria</t>
  </si>
  <si>
    <t>Estudio de abogados ZZT</t>
  </si>
  <si>
    <t>Importaciones D A F T</t>
  </si>
  <si>
    <t>Servicios Generales</t>
  </si>
  <si>
    <t>Transportes CPGQ</t>
  </si>
  <si>
    <t>Tiendas Wang</t>
  </si>
  <si>
    <t>Banco Interno</t>
  </si>
  <si>
    <t>Banco Maya</t>
  </si>
  <si>
    <t>Banco Inca</t>
  </si>
  <si>
    <t>Banco Egipcio Nacional</t>
  </si>
  <si>
    <t>Electro Este</t>
  </si>
  <si>
    <t>Sociedad de Minería Nueva</t>
  </si>
  <si>
    <t>Ferrocarriles Centrales</t>
  </si>
  <si>
    <t xml:space="preserve">Periódicos Nuevos </t>
  </si>
  <si>
    <t>Automotores Distribuidos</t>
  </si>
  <si>
    <t>Huancayo</t>
  </si>
  <si>
    <t>Arequipa</t>
  </si>
  <si>
    <t>Cusco</t>
  </si>
  <si>
    <t>Cajamarca</t>
  </si>
  <si>
    <t>Piura</t>
  </si>
  <si>
    <t>Lima</t>
  </si>
  <si>
    <t>Trujillo</t>
  </si>
  <si>
    <t>Loreto</t>
  </si>
  <si>
    <t>Ciudad</t>
  </si>
  <si>
    <t>Precio_Unitario</t>
  </si>
  <si>
    <t>Nivel_Venta</t>
  </si>
  <si>
    <t>Jose</t>
  </si>
  <si>
    <t>Victor</t>
  </si>
  <si>
    <t>Maria</t>
  </si>
  <si>
    <t>Total_vendido</t>
  </si>
  <si>
    <t>Media</t>
  </si>
  <si>
    <t>Alta</t>
  </si>
  <si>
    <t>Bajo</t>
  </si>
  <si>
    <t>Operaciones/vendedor</t>
  </si>
  <si>
    <t>Electrodomestico</t>
  </si>
  <si>
    <t>Operaciones/Producto</t>
  </si>
  <si>
    <t>Total_Vendido</t>
  </si>
  <si>
    <t>Promedio/Territorio</t>
  </si>
  <si>
    <t>Promedio/Producto</t>
  </si>
  <si>
    <t>Etiquetas de fila</t>
  </si>
  <si>
    <t>Total general</t>
  </si>
  <si>
    <t>Suma de Ventas</t>
  </si>
  <si>
    <t>(Todas)</t>
  </si>
  <si>
    <t>2016</t>
  </si>
  <si>
    <t>ene</t>
  </si>
  <si>
    <t>Electrodomesticos</t>
  </si>
  <si>
    <t>Peru</t>
  </si>
  <si>
    <t>Compañia Minera Poderosa, S.A.</t>
  </si>
  <si>
    <t>Diners Club Peru, S.A</t>
  </si>
  <si>
    <t>Sociedad de Mineria Nueva</t>
  </si>
  <si>
    <t>Americana de Contactos</t>
  </si>
  <si>
    <t>Pluspetrol Peru Corporation, S.A.</t>
  </si>
  <si>
    <t>Ajies Rellenos Inc.</t>
  </si>
  <si>
    <t>Radios Unidos por el pais</t>
  </si>
  <si>
    <t>Alcaldia Regional</t>
  </si>
  <si>
    <t>Synapsis del Peru</t>
  </si>
  <si>
    <t>Sodimac Peru, S.A.</t>
  </si>
  <si>
    <t>Maquillajes Unidos</t>
  </si>
  <si>
    <t>Periodicos Nuevos</t>
  </si>
  <si>
    <t>Asociacion de Fondos de Pensiones</t>
  </si>
  <si>
    <t>Petrobras Energia Peru, S.A.</t>
  </si>
  <si>
    <t>Eckerd Peru, S.A.</t>
  </si>
  <si>
    <t>Tecnologica de Alimentos, S.A.</t>
  </si>
  <si>
    <t>Norsemont Peru, S.A.C.</t>
  </si>
  <si>
    <t>2015</t>
  </si>
  <si>
    <t>Total_Ventas</t>
  </si>
  <si>
    <t>Precio_Unitario1</t>
  </si>
  <si>
    <t>Cantidad1</t>
  </si>
  <si>
    <t>el vendedor que genero mayor ganancia fue Victor con una con un total vendido mayor a 30M que en porcentaje total equivale a un 26,45%  a comparacion de sus compareños y otro vendedor que tuvo buen rendimiento fue nora con ventas mayores a 25M con porcentaje de 17.41% total de ventas</t>
  </si>
  <si>
    <t>“¿Qué vendedor vendió más?”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</si>
  <si>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</si>
  <si>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</si>
  <si>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</si>
  <si>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</si>
  <si>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</si>
  <si>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</si>
  <si>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</si>
  <si>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</si>
  <si>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</si>
  <si>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</si>
  <si>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</si>
  <si>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jul</t>
  </si>
  <si>
    <t>Total ago</t>
  </si>
  <si>
    <t>Total sep</t>
  </si>
  <si>
    <t>Total oct</t>
  </si>
  <si>
    <t>Total nov</t>
  </si>
  <si>
    <t>Total dic</t>
  </si>
  <si>
    <t>Total 2015</t>
  </si>
  <si>
    <t>Total ene</t>
  </si>
  <si>
    <t>Total feb</t>
  </si>
  <si>
    <t>Total mar</t>
  </si>
  <si>
    <t>Total abr</t>
  </si>
  <si>
    <t>Total may</t>
  </si>
  <si>
    <t>Total jun</t>
  </si>
  <si>
    <t>Total 2016</t>
  </si>
  <si>
    <t>Y en el territorio sur  Nora con un 29.95% de venta con una cantidad vendida de 4,839 unidades, y marcos con 18.94%, jose con 15.89 y nadia 14,41%, rosa 13,92%, donde la region sur domina por estabilidad y sus vendedores son buenos</t>
  </si>
  <si>
    <t>con respecto a terroritorios el vendedor victor tuvo un porcentaje de ventas de 63,14% con 7,141 undiade vendidas en el norte, y maria con 18,75% muy por debajo a victor</t>
  </si>
  <si>
    <t>“¿Qué producto genera más ventas?”</t>
  </si>
  <si>
    <t>De los producto que generan mas ganancias esta en los accesorio con ganancias mayores a 50M, con un promedio de 148,776</t>
  </si>
  <si>
    <t>otros producto que mantienen buen rendimiento son los juguetes con ganancias superiores a 30M y otro que tambien aparece los eletrodomesticos con 30M</t>
  </si>
  <si>
    <t>en cuanto a conteos hay en accesorios 370 pedidos, juguetes 244 y electrodomesticos 200 y el que tuve menos ganacia fue el calzado 85 pedido con ganacia de 11M</t>
  </si>
  <si>
    <t>en cuantos en ganancia de producto en el transcurso del año, el 2015 se puede decir que fue el mejor, en cuanto a 2016 se mostro caida cercana a la mitad facturada del 2015</t>
  </si>
  <si>
    <t>“¿Dónde se vende más?”</t>
  </si>
  <si>
    <t>Total Norte</t>
  </si>
  <si>
    <t>Total Sur</t>
  </si>
  <si>
    <t>En territorio el lugar donde mas vende es en la Zona Sur con ganacias de mas de 85M a comparacion de Zona Norte con 61M</t>
  </si>
  <si>
    <t>En la Zona Norte las cuidades donde tuvieron mejor desempezo fueron en Arequipa con 12M, loreto con 14M siendo el mejor con diferencia de 2M y tambien Piura con 10M seguido de cusco con 9M</t>
  </si>
  <si>
    <t>En la zona Sur Arequipa con 19M y seguido de Loreto casi llegando a los 21M, tambien Piura y cusco en margen del 10M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</si>
</sst>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.00\ &quot;€&quot;"/>
    <numFmt numFmtId="165" formatCode="#,##0\ &quot;€&quot;"/>
    <numFmt numFmtId="166" formatCode="_-* #,##0.000000\ &quot;€&quot;_-;\-* #,##0.000000\ &quot;€&quot;_-;_-* &quot;-&quot;??\ &quot;€&quot;_-;_-@_-"/>
    <numFmt numFmtId="167" formatCode="0.00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14" fontId="0" fillId="0" borderId="0" xfId="0" applyNumberFormat="1"/>
    <xf numFmtId="0" fontId="0" fillId="0" borderId="0" xfId="0" applyAlignment="1">
      <alignment horizontal="left" indent="2"/>
    </xf>
    <xf numFmtId="2" fontId="0" fillId="0" borderId="0" xfId="0" applyNumberFormat="1"/>
    <xf numFmtId="43" fontId="0" fillId="0" borderId="1" xfId="1" applyFont="1" applyBorder="1" applyAlignment="1">
      <alignment horizontal="center"/>
    </xf>
    <xf numFmtId="4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0" xfId="0" applyNumberFormat="1"/>
    <xf numFmtId="44" fontId="0" fillId="0" borderId="1" xfId="1" applyNumberFormat="1" applyFont="1" applyBorder="1" applyAlignment="1">
      <alignment horizontal="center"/>
    </xf>
    <xf numFmtId="44" fontId="0" fillId="0" borderId="0" xfId="0" applyNumberFormat="1"/>
    <xf numFmtId="0" fontId="3" fillId="0" borderId="0" xfId="0" applyFont="1"/>
    <xf numFmtId="166" fontId="0" fillId="0" borderId="0" xfId="0" applyNumberFormat="1"/>
    <xf numFmtId="167" fontId="0" fillId="0" borderId="0" xfId="0" applyNumberForma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Millares" xfId="1" builtinId="3"/>
    <cellStyle name="Normal" xfId="0" builtinId="0"/>
  </cellStyles>
  <dxfs count="82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166" formatCode="_-* #,##0.000000\ &quot;€&quot;_-;\-* #,##0.0000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7" formatCode="0.000000"/>
    </dxf>
    <dxf>
      <numFmt numFmtId="167" formatCode="0.000000"/>
    </dxf>
    <dxf>
      <numFmt numFmtId="167" formatCode="0.000000"/>
    </dxf>
    <dxf>
      <numFmt numFmtId="34" formatCode="_-* #,##0.00\ &quot;€&quot;_-;\-* #,##0.00\ &quot;€&quot;_-;_-* &quot;-&quot;??\ &quot;€&quot;_-;_-@_-"/>
    </dxf>
    <dxf>
      <numFmt numFmtId="14" formatCode="0.00%"/>
    </dxf>
    <dxf>
      <numFmt numFmtId="2" formatCode="0.00"/>
    </dxf>
    <dxf>
      <numFmt numFmtId="2" formatCode="0.00"/>
    </dxf>
    <dxf>
      <numFmt numFmtId="164" formatCode="#,##0.00\ &quot;€&quot;"/>
    </dxf>
    <dxf>
      <numFmt numFmtId="2" formatCode="0.0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microsoft.com/office/2007/relationships/slicerCache" Target="slicerCaches/slicerCache6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pivotCacheDefinition" Target="pivotCache/pivotCacheDefinition1.xml"/><Relationship Id="rId12" Type="http://schemas.microsoft.com/office/2007/relationships/slicerCache" Target="slicerCaches/slicerCache5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9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4.xml"/><Relationship Id="rId5" Type="http://schemas.openxmlformats.org/officeDocument/2006/relationships/worksheet" Target="worksheets/sheet5.xml"/><Relationship Id="rId15" Type="http://schemas.microsoft.com/office/2007/relationships/slicerCache" Target="slicerCaches/slicerCache8.xml"/><Relationship Id="rId10" Type="http://schemas.microsoft.com/office/2007/relationships/slicerCache" Target="slicerCaches/slicerCache3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microsoft.com/office/2007/relationships/slicerCache" Target="slicerCaches/slicerCache7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[analisis_excel1.xlsx]Dash!TablaDinámica5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Dash!$A$4:$A$13</c:f>
              <c:strCache>
                <c:ptCount val="9"/>
                <c:pt idx="0">
                  <c:v>Edwin</c:v>
                </c:pt>
                <c:pt idx="1">
                  <c:v>Javier</c:v>
                </c:pt>
                <c:pt idx="2">
                  <c:v>Jose</c:v>
                </c:pt>
                <c:pt idx="3">
                  <c:v>Marco</c:v>
                </c:pt>
                <c:pt idx="4">
                  <c:v>Maria</c:v>
                </c:pt>
                <c:pt idx="5">
                  <c:v>Nadia</c:v>
                </c:pt>
                <c:pt idx="6">
                  <c:v>Nora</c:v>
                </c:pt>
                <c:pt idx="7">
                  <c:v>Rosa</c:v>
                </c:pt>
                <c:pt idx="8">
                  <c:v>Victor</c:v>
                </c:pt>
              </c:strCache>
            </c:strRef>
          </c:cat>
          <c:val>
            <c:numRef>
              <c:f>Dash!$B$4:$B$13</c:f>
              <c:numCache>
                <c:formatCode>0.00</c:formatCode>
                <c:ptCount val="9"/>
                <c:pt idx="0">
                  <c:v>13149429</c:v>
                </c:pt>
                <c:pt idx="1">
                  <c:v>3838966</c:v>
                </c:pt>
                <c:pt idx="2">
                  <c:v>13535221</c:v>
                </c:pt>
                <c:pt idx="3">
                  <c:v>16129498</c:v>
                </c:pt>
                <c:pt idx="4">
                  <c:v>11510967</c:v>
                </c:pt>
                <c:pt idx="5">
                  <c:v>12271934</c:v>
                </c:pt>
                <c:pt idx="6">
                  <c:v>25510157</c:v>
                </c:pt>
                <c:pt idx="7">
                  <c:v>11857489</c:v>
                </c:pt>
                <c:pt idx="8">
                  <c:v>38761317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00-45B3-80C3-B8AC02556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0972544"/>
        <c:axId val="783615696"/>
      </c:barChart>
      <c:catAx>
        <c:axId val="790972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83615696"/>
        <c:crosses val="autoZero"/>
        <c:auto val="1"/>
        <c:lblAlgn val="ctr"/>
        <c:lblOffset val="100"/>
        <c:noMultiLvlLbl val="0"/>
      </c:catAx>
      <c:valAx>
        <c:axId val="78361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90972544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[analisis_excel1.xlsx]Dash!TablaDinámica6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6191971766241079"/>
          <c:y val="0.17408542682164729"/>
          <c:w val="0.61798182006910141"/>
          <c:h val="0.6822706536682914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Dash!$B$15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Dash!$A$16:$A$21</c:f>
              <c:strCache>
                <c:ptCount val="5"/>
                <c:pt idx="0">
                  <c:v>Accesorios</c:v>
                </c:pt>
                <c:pt idx="1">
                  <c:v>Calzado</c:v>
                </c:pt>
                <c:pt idx="2">
                  <c:v>Electrodomesticos</c:v>
                </c:pt>
                <c:pt idx="3">
                  <c:v>Juguetes</c:v>
                </c:pt>
                <c:pt idx="4">
                  <c:v>Viajes</c:v>
                </c:pt>
              </c:strCache>
            </c:strRef>
          </c:cat>
          <c:val>
            <c:numRef>
              <c:f>Dash!$B$16:$B$21</c:f>
              <c:numCache>
                <c:formatCode>0.00</c:formatCode>
                <c:ptCount val="5"/>
                <c:pt idx="0">
                  <c:v>55047421</c:v>
                </c:pt>
                <c:pt idx="1">
                  <c:v>11862587</c:v>
                </c:pt>
                <c:pt idx="2">
                  <c:v>30126889</c:v>
                </c:pt>
                <c:pt idx="3">
                  <c:v>37398809</c:v>
                </c:pt>
                <c:pt idx="4">
                  <c:v>12129272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5E-4756-805F-7B07D8CDDD4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943214904"/>
        <c:axId val="943215264"/>
      </c:barChart>
      <c:catAx>
        <c:axId val="943214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43215264"/>
        <c:crosses val="autoZero"/>
        <c:auto val="1"/>
        <c:lblAlgn val="ctr"/>
        <c:lblOffset val="100"/>
        <c:noMultiLvlLbl val="0"/>
      </c:catAx>
      <c:valAx>
        <c:axId val="9432152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43214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[analisis_excel1.xlsx]Dash!TablaDinámica7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Dash!$B$23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44A-4474-8DB7-422E78695E6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44A-4474-8DB7-422E78695E67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Dash!$A$24:$A$26</c:f>
              <c:strCache>
                <c:ptCount val="2"/>
                <c:pt idx="0">
                  <c:v>Norte</c:v>
                </c:pt>
                <c:pt idx="1">
                  <c:v>Sur</c:v>
                </c:pt>
              </c:strCache>
            </c:strRef>
          </c:cat>
          <c:val>
            <c:numRef>
              <c:f>Dash!$B$24:$B$26</c:f>
              <c:numCache>
                <c:formatCode>0.00</c:formatCode>
                <c:ptCount val="2"/>
                <c:pt idx="0">
                  <c:v>61386576</c:v>
                </c:pt>
                <c:pt idx="1">
                  <c:v>85178402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79-45A1-B293-2BB54773CB6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3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701674</xdr:colOff>
      <xdr:row>25</xdr:row>
      <xdr:rowOff>74083</xdr:rowOff>
    </xdr:from>
    <xdr:to>
      <xdr:col>4</xdr:col>
      <xdr:colOff>695324</xdr:colOff>
      <xdr:row>38</xdr:row>
      <xdr:rowOff>121708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3" name="Vendedor">
              <a:extLst>
                <a:ext uri="{FF2B5EF4-FFF2-40B4-BE49-F238E27FC236}">
                  <a16:creationId xmlns:a16="http://schemas.microsoft.com/office/drawing/2014/main" id="{8AD61D02-3FB4-AACF-C24D-A2215D5308A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79924" y="4836583"/>
              <a:ext cx="1824567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4</xdr:col>
      <xdr:colOff>715434</xdr:colOff>
      <xdr:row>25</xdr:row>
      <xdr:rowOff>118533</xdr:rowOff>
    </xdr:from>
    <xdr:to>
      <xdr:col>6</xdr:col>
      <xdr:colOff>499534</xdr:colOff>
      <xdr:row>38</xdr:row>
      <xdr:rowOff>166158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4" name="Nivel_Venta">
              <a:extLst>
                <a:ext uri="{FF2B5EF4-FFF2-40B4-BE49-F238E27FC236}">
                  <a16:creationId xmlns:a16="http://schemas.microsoft.com/office/drawing/2014/main" id="{1150C1B6-809F-5D1F-C45D-88DDDEA7179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ivel_Vent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24601" y="4881033"/>
              <a:ext cx="1826683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15</xdr:row>
      <xdr:rowOff>104775</xdr:rowOff>
    </xdr:from>
    <xdr:to>
      <xdr:col>2</xdr:col>
      <xdr:colOff>295275</xdr:colOff>
      <xdr:row>28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iudad">
              <a:extLst>
                <a:ext uri="{FF2B5EF4-FFF2-40B4-BE49-F238E27FC236}">
                  <a16:creationId xmlns:a16="http://schemas.microsoft.com/office/drawing/2014/main" id="{F13BD18C-15AB-C7BF-EDF5-58585585907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u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5275" y="296227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504825</xdr:colOff>
      <xdr:row>15</xdr:row>
      <xdr:rowOff>85725</xdr:rowOff>
    </xdr:from>
    <xdr:to>
      <xdr:col>4</xdr:col>
      <xdr:colOff>447675</xdr:colOff>
      <xdr:row>28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Producto">
              <a:extLst>
                <a:ext uri="{FF2B5EF4-FFF2-40B4-BE49-F238E27FC236}">
                  <a16:creationId xmlns:a16="http://schemas.microsoft.com/office/drawing/2014/main" id="{BD43824B-ED0E-C7E1-C15E-F58D99B3B2C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33625" y="29432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542925</xdr:colOff>
      <xdr:row>1</xdr:row>
      <xdr:rowOff>142875</xdr:rowOff>
    </xdr:from>
    <xdr:to>
      <xdr:col>8</xdr:col>
      <xdr:colOff>752475</xdr:colOff>
      <xdr:row>19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FA456B2-6156-ACAE-2A6C-B14A9E8627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495299</xdr:colOff>
      <xdr:row>20</xdr:row>
      <xdr:rowOff>142875</xdr:rowOff>
    </xdr:from>
    <xdr:to>
      <xdr:col>9</xdr:col>
      <xdr:colOff>219074</xdr:colOff>
      <xdr:row>37</xdr:row>
      <xdr:rowOff>104775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A334A75-1FA6-A417-C6A5-65A15CF8F9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581025</xdr:colOff>
      <xdr:row>21</xdr:row>
      <xdr:rowOff>180974</xdr:rowOff>
    </xdr:from>
    <xdr:to>
      <xdr:col>13</xdr:col>
      <xdr:colOff>428625</xdr:colOff>
      <xdr:row>36</xdr:row>
      <xdr:rowOff>171449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882F952-641C-F5DC-7544-EA7E55F876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295275</xdr:colOff>
      <xdr:row>26</xdr:row>
      <xdr:rowOff>104775</xdr:rowOff>
    </xdr:from>
    <xdr:to>
      <xdr:col>1</xdr:col>
      <xdr:colOff>952500</xdr:colOff>
      <xdr:row>39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Vendedor 1">
              <a:extLst>
                <a:ext uri="{FF2B5EF4-FFF2-40B4-BE49-F238E27FC236}">
                  <a16:creationId xmlns:a16="http://schemas.microsoft.com/office/drawing/2014/main" id="{37B8AD56-D7A2-5925-6D2A-4B41E6DCB23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5275" y="505777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657225</xdr:colOff>
      <xdr:row>32</xdr:row>
      <xdr:rowOff>47625</xdr:rowOff>
    </xdr:from>
    <xdr:to>
      <xdr:col>16</xdr:col>
      <xdr:colOff>200025</xdr:colOff>
      <xdr:row>37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Territorio">
              <a:extLst>
                <a:ext uri="{FF2B5EF4-FFF2-40B4-BE49-F238E27FC236}">
                  <a16:creationId xmlns:a16="http://schemas.microsoft.com/office/drawing/2014/main" id="{729B3A49-C375-2C6A-E6C8-75ED4641B1E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erritori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20450" y="6143625"/>
              <a:ext cx="1828800" cy="923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266700</xdr:colOff>
      <xdr:row>1</xdr:row>
      <xdr:rowOff>19051</xdr:rowOff>
    </xdr:from>
    <xdr:to>
      <xdr:col>11</xdr:col>
      <xdr:colOff>571500</xdr:colOff>
      <xdr:row>10</xdr:row>
      <xdr:rowOff>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Producto 1">
              <a:extLst>
                <a:ext uri="{FF2B5EF4-FFF2-40B4-BE49-F238E27FC236}">
                  <a16:creationId xmlns:a16="http://schemas.microsoft.com/office/drawing/2014/main" id="{8160DC94-6672-3361-EA28-865FDEE4E26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81925" y="209551"/>
              <a:ext cx="1828800" cy="1695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752475</xdr:colOff>
      <xdr:row>0</xdr:row>
      <xdr:rowOff>142875</xdr:rowOff>
    </xdr:from>
    <xdr:to>
      <xdr:col>14</xdr:col>
      <xdr:colOff>295275</xdr:colOff>
      <xdr:row>14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Meses (Fecha)">
              <a:extLst>
                <a:ext uri="{FF2B5EF4-FFF2-40B4-BE49-F238E27FC236}">
                  <a16:creationId xmlns:a16="http://schemas.microsoft.com/office/drawing/2014/main" id="{FE0DF8E6-0FA6-5F40-1D02-B5DAFD7605C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 (Fecha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91700" y="14287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352425</xdr:colOff>
      <xdr:row>0</xdr:row>
      <xdr:rowOff>123825</xdr:rowOff>
    </xdr:from>
    <xdr:to>
      <xdr:col>16</xdr:col>
      <xdr:colOff>657225</xdr:colOff>
      <xdr:row>5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Años (Fecha)">
              <a:extLst>
                <a:ext uri="{FF2B5EF4-FFF2-40B4-BE49-F238E27FC236}">
                  <a16:creationId xmlns:a16="http://schemas.microsoft.com/office/drawing/2014/main" id="{154F4281-6F16-4BAC-A6FF-238573711F6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s (Fecha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77650" y="123825"/>
              <a:ext cx="1828800" cy="885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225.762374421298" createdVersion="8" refreshedVersion="8" minRefreshableVersion="3" recordCount="974" xr:uid="{2A1FB721-83E1-49E2-BD00-AD491AA76B32}">
  <cacheSource type="worksheet">
    <worksheetSource name="Tabla2"/>
  </cacheSource>
  <cacheFields count="15">
    <cacheField name="Ciudad" numFmtId="0">
      <sharedItems count="8">
        <s v="Huancayo"/>
        <s v="Arequipa"/>
        <s v="Cusco"/>
        <s v="Cajamarca"/>
        <s v="Piura"/>
        <s v="Lima"/>
        <s v="Trujillo"/>
        <s v="Loreto"/>
      </sharedItems>
    </cacheField>
    <cacheField name="Lugar" numFmtId="0">
      <sharedItems/>
    </cacheField>
    <cacheField name="Cliente" numFmtId="0">
      <sharedItems/>
    </cacheField>
    <cacheField name="Vendedor" numFmtId="0">
      <sharedItems count="9">
        <s v="Jose"/>
        <s v="Victor"/>
        <s v="Edwin"/>
        <s v="Nadia"/>
        <s v="Marco"/>
        <s v="Maria"/>
        <s v="Rosa"/>
        <s v="Nora"/>
        <s v="Javier"/>
      </sharedItems>
    </cacheField>
    <cacheField name="Territorio" numFmtId="0">
      <sharedItems count="2">
        <s v="Sur"/>
        <s v="Norte"/>
      </sharedItems>
    </cacheField>
    <cacheField name="Socio" numFmtId="0">
      <sharedItems/>
    </cacheField>
    <cacheField name="Ventas" numFmtId="0">
      <sharedItems containsSemiMixedTypes="0" containsString="0" containsNumber="1" containsInteger="1" minValue="50104" maxValue="249750"/>
    </cacheField>
    <cacheField name="Cantidad" numFmtId="0">
      <sharedItems containsSemiMixedTypes="0" containsString="0" containsNumber="1" containsInteger="1" minValue="15" maxValue="42"/>
    </cacheField>
    <cacheField name="Producto" numFmtId="0">
      <sharedItems count="5">
        <s v="Accesorios"/>
        <s v="Viajes"/>
        <s v="Juguetes"/>
        <s v="Calzado"/>
        <s v="Electrodomesticos"/>
      </sharedItems>
    </cacheField>
    <cacheField name="Fecha" numFmtId="14">
      <sharedItems containsSemiMixedTypes="0" containsNonDate="0" containsDate="1" containsString="0" minDate="2015-07-01T00:00:00" maxDate="2016-07-01T00:00:00" count="100">
        <d v="2016-04-30T00:00:00"/>
        <d v="2016-04-22T00:00:00"/>
        <d v="2016-04-21T00:00:00"/>
        <d v="2016-04-29T00:00:00"/>
        <d v="2016-04-13T00:00:00"/>
        <d v="2015-08-26T00:00:00"/>
        <d v="2015-08-31T00:00:00"/>
        <d v="2015-08-14T00:00:00"/>
        <d v="2015-08-19T00:00:00"/>
        <d v="2015-08-28T00:00:00"/>
        <d v="2015-08-21T00:00:00"/>
        <d v="2015-08-13T00:00:00"/>
        <d v="2015-08-27T00:00:00"/>
        <d v="2015-08-20T00:00:00"/>
        <d v="2015-08-24T00:00:00"/>
        <d v="2015-08-12T00:00:00"/>
        <d v="2015-08-17T00:00:00"/>
        <d v="2015-12-01T00:00:00"/>
        <d v="2015-12-31T00:00:00"/>
        <d v="2015-12-15T00:00:00"/>
        <d v="2015-12-25T00:00:00"/>
        <d v="2015-12-30T00:00:00"/>
        <d v="2015-12-29T00:00:00"/>
        <d v="2015-12-23T00:00:00"/>
        <d v="2015-12-21T00:00:00"/>
        <d v="2016-02-29T00:00:00"/>
        <d v="2016-02-26T00:00:00"/>
        <d v="2016-02-01T00:00:00"/>
        <d v="2016-02-18T00:00:00"/>
        <d v="2016-01-01T00:00:00"/>
        <d v="2016-01-14T00:00:00"/>
        <d v="2016-01-29T00:00:00"/>
        <d v="2016-01-31T00:00:00"/>
        <d v="2016-01-15T00:00:00"/>
        <d v="2016-01-25T00:00:00"/>
        <d v="2015-07-01T00:00:00"/>
        <d v="2015-07-17T00:00:00"/>
        <d v="2015-07-29T00:00:00"/>
        <d v="2015-07-30T00:00:00"/>
        <d v="2015-07-15T00:00:00"/>
        <d v="2015-07-23T00:00:00"/>
        <d v="2015-07-31T00:00:00"/>
        <d v="2015-07-07T00:00:00"/>
        <d v="2015-07-05T00:00:00"/>
        <d v="2015-07-10T00:00:00"/>
        <d v="2015-07-24T00:00:00"/>
        <d v="2015-07-09T00:00:00"/>
        <d v="2015-07-27T00:00:00"/>
        <d v="2015-07-22T00:00:00"/>
        <d v="2015-07-03T00:00:00"/>
        <d v="2015-07-13T00:00:00"/>
        <d v="2015-07-08T00:00:00"/>
        <d v="2016-06-01T00:00:00"/>
        <d v="2016-06-30T00:00:00"/>
        <d v="2016-06-23T00:00:00"/>
        <d v="2016-06-08T00:00:00"/>
        <d v="2016-06-09T00:00:00"/>
        <d v="2016-06-15T00:00:00"/>
        <d v="2016-03-01T00:00:00"/>
        <d v="2016-03-25T00:00:00"/>
        <d v="2016-03-31T00:00:00"/>
        <d v="2016-03-23T00:00:00"/>
        <d v="2016-03-18T00:00:00"/>
        <d v="2016-03-08T00:00:00"/>
        <d v="2016-03-16T00:00:00"/>
        <d v="2016-05-27T00:00:00"/>
        <d v="2016-05-01T00:00:00"/>
        <d v="2016-05-24T00:00:00"/>
        <d v="2016-05-31T00:00:00"/>
        <d v="2016-05-19T00:00:00"/>
        <d v="2015-11-27T00:00:00"/>
        <d v="2015-11-30T00:00:00"/>
        <d v="2015-11-01T00:00:00"/>
        <d v="2015-11-02T00:00:00"/>
        <d v="2015-11-25T00:00:00"/>
        <d v="2015-11-26T00:00:00"/>
        <d v="2015-10-30T00:00:00"/>
        <d v="2015-10-23T00:00:00"/>
        <d v="2015-10-26T00:00:00"/>
        <d v="2015-10-01T00:00:00"/>
        <d v="2015-10-31T00:00:00"/>
        <d v="2015-10-29T00:00:00"/>
        <d v="2015-10-14T00:00:00"/>
        <d v="2015-10-15T00:00:00"/>
        <d v="2015-10-08T00:00:00"/>
        <d v="2015-10-21T00:00:00"/>
        <d v="2015-09-30T00:00:00"/>
        <d v="2015-09-15T00:00:00"/>
        <d v="2015-09-17T00:00:00"/>
        <d v="2015-09-22T00:00:00"/>
        <d v="2015-09-23T00:00:00"/>
        <d v="2015-09-16T00:00:00"/>
        <d v="2015-09-01T00:00:00"/>
        <d v="2015-09-24T00:00:00"/>
        <d v="2015-09-29T00:00:00"/>
        <d v="2015-09-25T00:00:00"/>
        <d v="2015-09-28T00:00:00"/>
        <d v="2015-09-09T00:00:00"/>
        <d v="2015-09-02T00:00:00"/>
        <d v="2015-09-21T00:00:00"/>
      </sharedItems>
      <fieldGroup par="14"/>
    </cacheField>
    <cacheField name="Precio_Unitario" numFmtId="0">
      <sharedItems containsSemiMixedTypes="0" containsString="0" containsNumber="1" minValue="1261.833333" maxValue="16512.733329999999"/>
    </cacheField>
    <cacheField name="Nivel_Venta" numFmtId="0">
      <sharedItems/>
    </cacheField>
    <cacheField name="Meses (Fecha)" numFmtId="0" databaseField="0">
      <fieldGroup base="9">
        <rangePr groupBy="months" startDate="2015-07-01T00:00:00" endDate="2016-07-01T00:00:00"/>
        <groupItems count="14">
          <s v="&lt;01/07/2015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01/07/2016"/>
        </groupItems>
      </fieldGroup>
    </cacheField>
    <cacheField name="Trimestres (Fecha)" numFmtId="0" databaseField="0">
      <fieldGroup base="9">
        <rangePr groupBy="quarters" startDate="2015-07-01T00:00:00" endDate="2016-07-01T00:00:00"/>
        <groupItems count="6">
          <s v="&lt;01/07/2015"/>
          <s v="Trim.1"/>
          <s v="Trim.2"/>
          <s v="Trim.3"/>
          <s v="Trim.4"/>
          <s v="&gt;01/07/2016"/>
        </groupItems>
      </fieldGroup>
    </cacheField>
    <cacheField name="Años (Fecha)" numFmtId="0" databaseField="0">
      <fieldGroup base="9">
        <rangePr groupBy="years" startDate="2015-07-01T00:00:00" endDate="2016-07-01T00:00:00"/>
        <groupItems count="4">
          <s v="&lt;01/07/2015"/>
          <s v="2015"/>
          <s v="2016"/>
          <s v="&gt;01/07/2016"/>
        </groupItems>
      </fieldGroup>
    </cacheField>
  </cacheFields>
  <extLst>
    <ext xmlns:x14="http://schemas.microsoft.com/office/spreadsheetml/2009/9/main" uri="{725AE2AE-9491-48be-B2B4-4EB974FC3084}">
      <x14:pivotCacheDefinition pivotCacheId="104706415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4">
  <r>
    <x v="0"/>
    <s v="Peru"/>
    <s v="CORPORACION GRAFICA NAVARRETE"/>
    <x v="0"/>
    <x v="0"/>
    <s v="Ringo"/>
    <n v="173330"/>
    <n v="24"/>
    <x v="0"/>
    <x v="0"/>
    <n v="7222.0833329999996"/>
    <s v="Media"/>
  </r>
  <r>
    <x v="1"/>
    <s v="Peru"/>
    <s v="San Martin Inc"/>
    <x v="1"/>
    <x v="1"/>
    <s v="Ringo"/>
    <n v="235562"/>
    <n v="16"/>
    <x v="1"/>
    <x v="1"/>
    <n v="14722.625"/>
    <s v="Alta"/>
  </r>
  <r>
    <x v="1"/>
    <s v="Peru"/>
    <s v="Unique, S.A."/>
    <x v="1"/>
    <x v="1"/>
    <s v="Ringo"/>
    <n v="98041"/>
    <n v="33"/>
    <x v="1"/>
    <x v="1"/>
    <n v="2970.939394"/>
    <s v="Bajo"/>
  </r>
  <r>
    <x v="1"/>
    <s v="Peru"/>
    <s v="Banco Interno"/>
    <x v="1"/>
    <x v="1"/>
    <s v="Ringo"/>
    <n v="112955"/>
    <n v="30"/>
    <x v="1"/>
    <x v="2"/>
    <n v="3765.166667"/>
    <s v="Media"/>
  </r>
  <r>
    <x v="2"/>
    <s v="Peru"/>
    <s v="Americana de Contactos"/>
    <x v="1"/>
    <x v="1"/>
    <s v="John"/>
    <n v="183858"/>
    <n v="31"/>
    <x v="2"/>
    <x v="3"/>
    <n v="5930.9032260000004"/>
    <s v="Media"/>
  </r>
  <r>
    <x v="3"/>
    <s v="Peru"/>
    <s v="Gloria"/>
    <x v="1"/>
    <x v="1"/>
    <s v="Ringo"/>
    <n v="232459"/>
    <n v="29"/>
    <x v="1"/>
    <x v="1"/>
    <n v="8015.8275860000003"/>
    <s v="Alta"/>
  </r>
  <r>
    <x v="4"/>
    <s v="Peru"/>
    <s v="CORPORACION GRAFICA NAVARRETE"/>
    <x v="0"/>
    <x v="0"/>
    <s v="Ringo"/>
    <n v="249370"/>
    <n v="27"/>
    <x v="2"/>
    <x v="0"/>
    <n v="9235.9259259999999"/>
    <s v="Alta"/>
  </r>
  <r>
    <x v="4"/>
    <s v="Peru"/>
    <s v="Profuturo AFP"/>
    <x v="1"/>
    <x v="1"/>
    <s v="Ringo"/>
    <n v="149041"/>
    <n v="24"/>
    <x v="1"/>
    <x v="4"/>
    <n v="6210.0416670000004"/>
    <s v="Media"/>
  </r>
  <r>
    <x v="5"/>
    <s v="Peru"/>
    <s v="Seguros Internos SAC"/>
    <x v="2"/>
    <x v="1"/>
    <s v="John"/>
    <n v="186253"/>
    <n v="17"/>
    <x v="0"/>
    <x v="5"/>
    <n v="10956.05882"/>
    <s v="Media"/>
  </r>
  <r>
    <x v="5"/>
    <s v="Peru"/>
    <s v="Servicios Generales"/>
    <x v="1"/>
    <x v="1"/>
    <s v="John"/>
    <n v="154709"/>
    <n v="37"/>
    <x v="3"/>
    <x v="6"/>
    <n v="4181.3243240000002"/>
    <s v="Media"/>
  </r>
  <r>
    <x v="6"/>
    <s v="Peru"/>
    <s v="IFH Peru LTD"/>
    <x v="2"/>
    <x v="1"/>
    <s v="Ringo"/>
    <n v="198586"/>
    <n v="28"/>
    <x v="0"/>
    <x v="7"/>
    <n v="7092.3571430000002"/>
    <s v="Media"/>
  </r>
  <r>
    <x v="6"/>
    <s v="Peru"/>
    <s v="BOTICAS &amp; SALUD S.A.C."/>
    <x v="3"/>
    <x v="0"/>
    <s v="Ringo"/>
    <n v="100738"/>
    <n v="15"/>
    <x v="4"/>
    <x v="8"/>
    <n v="6715.8666670000002"/>
    <s v="Media"/>
  </r>
  <r>
    <x v="6"/>
    <s v="Peru"/>
    <s v="Supermercados Peruanos S.A."/>
    <x v="1"/>
    <x v="1"/>
    <s v="John"/>
    <n v="157832"/>
    <n v="40"/>
    <x v="2"/>
    <x v="6"/>
    <n v="3945.8"/>
    <s v="Media"/>
  </r>
  <r>
    <x v="6"/>
    <s v="Peru"/>
    <s v="Supermercados Peruanos S.A."/>
    <x v="1"/>
    <x v="1"/>
    <s v="John"/>
    <n v="244028"/>
    <n v="24"/>
    <x v="0"/>
    <x v="6"/>
    <n v="10167.833329999999"/>
    <s v="Alta"/>
  </r>
  <r>
    <x v="0"/>
    <s v="Peru"/>
    <s v="San Martin Inc"/>
    <x v="4"/>
    <x v="0"/>
    <s v="Ringo"/>
    <n v="164158"/>
    <n v="28"/>
    <x v="4"/>
    <x v="9"/>
    <n v="5862.7857139999996"/>
    <s v="Media"/>
  </r>
  <r>
    <x v="0"/>
    <s v="Peru"/>
    <s v="IFH Peru LTD"/>
    <x v="5"/>
    <x v="1"/>
    <s v="John"/>
    <n v="237486"/>
    <n v="36"/>
    <x v="1"/>
    <x v="6"/>
    <n v="6596.8333329999996"/>
    <s v="Alta"/>
  </r>
  <r>
    <x v="0"/>
    <s v="Peru"/>
    <s v="OMNIA SOLUTION S.A."/>
    <x v="2"/>
    <x v="0"/>
    <s v="Ringo"/>
    <n v="236324"/>
    <n v="25"/>
    <x v="1"/>
    <x v="10"/>
    <n v="9452.9599999999991"/>
    <s v="Alta"/>
  </r>
  <r>
    <x v="7"/>
    <s v="Peru"/>
    <s v="TEXFINA S.A."/>
    <x v="3"/>
    <x v="0"/>
    <s v="Ringo"/>
    <n v="175071"/>
    <n v="38"/>
    <x v="4"/>
    <x v="6"/>
    <n v="4607.1315789999999"/>
    <s v="Media"/>
  </r>
  <r>
    <x v="7"/>
    <s v="Peru"/>
    <s v="IFH Peru LTD"/>
    <x v="1"/>
    <x v="1"/>
    <s v="Ringo"/>
    <n v="145417"/>
    <n v="22"/>
    <x v="0"/>
    <x v="7"/>
    <n v="6609.863636"/>
    <s v="Media"/>
  </r>
  <r>
    <x v="7"/>
    <s v="Peru"/>
    <s v="IFH Peru LTD"/>
    <x v="2"/>
    <x v="1"/>
    <s v="Ringo"/>
    <n v="164588"/>
    <n v="41"/>
    <x v="4"/>
    <x v="7"/>
    <n v="4014.3414630000002"/>
    <s v="Media"/>
  </r>
  <r>
    <x v="7"/>
    <s v="Peru"/>
    <s v="NEXTEL PERU S.A."/>
    <x v="1"/>
    <x v="1"/>
    <s v="Ringo"/>
    <n v="197823"/>
    <n v="28"/>
    <x v="1"/>
    <x v="11"/>
    <n v="7065.1071430000002"/>
    <s v="Media"/>
  </r>
  <r>
    <x v="7"/>
    <s v="Peru"/>
    <s v="SANDOVAL S.A. - DINET"/>
    <x v="6"/>
    <x v="0"/>
    <s v="Ringo"/>
    <n v="164603"/>
    <n v="35"/>
    <x v="4"/>
    <x v="12"/>
    <n v="4702.942857"/>
    <s v="Media"/>
  </r>
  <r>
    <x v="7"/>
    <s v="Peru"/>
    <s v="MOLINOS &amp; CIA S.A."/>
    <x v="4"/>
    <x v="0"/>
    <s v="Ringo"/>
    <n v="62393"/>
    <n v="38"/>
    <x v="4"/>
    <x v="9"/>
    <n v="1641.921053"/>
    <s v="Bajo"/>
  </r>
  <r>
    <x v="7"/>
    <s v="Peru"/>
    <s v="Banco Inca"/>
    <x v="2"/>
    <x v="1"/>
    <s v="Ringo"/>
    <n v="236606"/>
    <n v="36"/>
    <x v="1"/>
    <x v="7"/>
    <n v="6572.3888889999998"/>
    <s v="Alta"/>
  </r>
  <r>
    <x v="7"/>
    <s v="Peru"/>
    <s v="Compañia Minera Poderosa, S.A."/>
    <x v="1"/>
    <x v="1"/>
    <s v="Ringo"/>
    <n v="141965"/>
    <n v="24"/>
    <x v="1"/>
    <x v="6"/>
    <n v="5915.2083329999996"/>
    <s v="Media"/>
  </r>
  <r>
    <x v="7"/>
    <s v="Peru"/>
    <s v="CLINICA INTERNACIONAL S.A."/>
    <x v="1"/>
    <x v="1"/>
    <s v="John"/>
    <n v="79057"/>
    <n v="32"/>
    <x v="3"/>
    <x v="6"/>
    <n v="2470.53125"/>
    <s v="Bajo"/>
  </r>
  <r>
    <x v="7"/>
    <s v="Peru"/>
    <s v="Banco Interno"/>
    <x v="7"/>
    <x v="0"/>
    <s v="Ringo"/>
    <n v="169756"/>
    <n v="38"/>
    <x v="2"/>
    <x v="13"/>
    <n v="4467.2631579999997"/>
    <s v="Media"/>
  </r>
  <r>
    <x v="7"/>
    <s v="Peru"/>
    <s v="IFH Peru LTD"/>
    <x v="5"/>
    <x v="1"/>
    <s v="Ringo"/>
    <n v="136293"/>
    <n v="27"/>
    <x v="0"/>
    <x v="7"/>
    <n v="5047.8888889999998"/>
    <s v="Media"/>
  </r>
  <r>
    <x v="7"/>
    <s v="Peru"/>
    <s v="MOLINOS &amp; CIA S.A."/>
    <x v="4"/>
    <x v="0"/>
    <s v="Ringo"/>
    <n v="161296"/>
    <n v="23"/>
    <x v="4"/>
    <x v="9"/>
    <n v="7012.869565"/>
    <s v="Media"/>
  </r>
  <r>
    <x v="7"/>
    <s v="Peru"/>
    <s v="Seguros Internos SAC"/>
    <x v="1"/>
    <x v="1"/>
    <s v="John"/>
    <n v="137877"/>
    <n v="22"/>
    <x v="2"/>
    <x v="6"/>
    <n v="6267.136364"/>
    <s v="Media"/>
  </r>
  <r>
    <x v="7"/>
    <s v="Peru"/>
    <s v="IFH Peru LTD"/>
    <x v="5"/>
    <x v="1"/>
    <s v="Ringo"/>
    <n v="71518"/>
    <n v="39"/>
    <x v="4"/>
    <x v="7"/>
    <n v="1833.7948719999999"/>
    <s v="Bajo"/>
  </r>
  <r>
    <x v="7"/>
    <s v="Peru"/>
    <s v="IFH Peru LTD"/>
    <x v="5"/>
    <x v="1"/>
    <s v="Ringo"/>
    <n v="106536"/>
    <n v="15"/>
    <x v="4"/>
    <x v="7"/>
    <n v="7102.4"/>
    <s v="Media"/>
  </r>
  <r>
    <x v="7"/>
    <s v="Peru"/>
    <s v="SIERRA MACHINES S.A.C."/>
    <x v="4"/>
    <x v="0"/>
    <s v="Ringo"/>
    <n v="120304"/>
    <n v="29"/>
    <x v="0"/>
    <x v="6"/>
    <n v="4148.4137929999997"/>
    <s v="Media"/>
  </r>
  <r>
    <x v="7"/>
    <s v="Peru"/>
    <s v="IFH Peru LTD"/>
    <x v="5"/>
    <x v="1"/>
    <s v="Ringo"/>
    <n v="105978"/>
    <n v="22"/>
    <x v="4"/>
    <x v="7"/>
    <n v="4817.181818"/>
    <s v="Media"/>
  </r>
  <r>
    <x v="7"/>
    <s v="Peru"/>
    <s v="IFH Peru LTD"/>
    <x v="2"/>
    <x v="1"/>
    <s v="Ringo"/>
    <n v="216366"/>
    <n v="29"/>
    <x v="4"/>
    <x v="7"/>
    <n v="7460.8965520000002"/>
    <s v="Alta"/>
  </r>
  <r>
    <x v="7"/>
    <s v="Peru"/>
    <s v="Periodicos Nuevos"/>
    <x v="7"/>
    <x v="0"/>
    <s v="John"/>
    <n v="124995"/>
    <n v="32"/>
    <x v="1"/>
    <x v="9"/>
    <n v="3906.09375"/>
    <s v="Media"/>
  </r>
  <r>
    <x v="7"/>
    <s v="Peru"/>
    <s v="IFH Peru LTD"/>
    <x v="5"/>
    <x v="1"/>
    <s v="Ringo"/>
    <n v="217511"/>
    <n v="28"/>
    <x v="0"/>
    <x v="7"/>
    <n v="7768.25"/>
    <s v="Alta"/>
  </r>
  <r>
    <x v="1"/>
    <s v="Peru"/>
    <s v="Supermercados Peruanos S.A."/>
    <x v="1"/>
    <x v="1"/>
    <s v="John"/>
    <n v="96052"/>
    <n v="42"/>
    <x v="2"/>
    <x v="6"/>
    <n v="2286.9523810000001"/>
    <s v="Bajo"/>
  </r>
  <r>
    <x v="1"/>
    <s v="Peru"/>
    <s v="Norsemont Peru, S.A.C."/>
    <x v="4"/>
    <x v="0"/>
    <s v="John"/>
    <n v="190081"/>
    <n v="21"/>
    <x v="4"/>
    <x v="13"/>
    <n v="9051.4761899999994"/>
    <s v="Media"/>
  </r>
  <r>
    <x v="1"/>
    <s v="Peru"/>
    <s v="IFH Peru LTD"/>
    <x v="2"/>
    <x v="1"/>
    <s v="Ringo"/>
    <n v="116835"/>
    <n v="32"/>
    <x v="2"/>
    <x v="7"/>
    <n v="3651.09375"/>
    <s v="Media"/>
  </r>
  <r>
    <x v="1"/>
    <s v="Peru"/>
    <s v="Seguros Internos SAC"/>
    <x v="1"/>
    <x v="1"/>
    <s v="John"/>
    <n v="102237"/>
    <n v="21"/>
    <x v="0"/>
    <x v="6"/>
    <n v="4868.4285710000004"/>
    <s v="Media"/>
  </r>
  <r>
    <x v="1"/>
    <s v="Peru"/>
    <s v="Seguros Internos SAC"/>
    <x v="1"/>
    <x v="1"/>
    <s v="John"/>
    <n v="143392"/>
    <n v="39"/>
    <x v="2"/>
    <x v="6"/>
    <n v="3676.7179489999999"/>
    <s v="Media"/>
  </r>
  <r>
    <x v="1"/>
    <s v="Peru"/>
    <s v="IFH Peru LTD"/>
    <x v="1"/>
    <x v="1"/>
    <s v="Ringo"/>
    <n v="126641"/>
    <n v="19"/>
    <x v="0"/>
    <x v="7"/>
    <n v="6665.3157890000002"/>
    <s v="Media"/>
  </r>
  <r>
    <x v="1"/>
    <s v="Peru"/>
    <s v="IFH Peru LTD"/>
    <x v="5"/>
    <x v="1"/>
    <s v="Ringo"/>
    <n v="195820"/>
    <n v="34"/>
    <x v="2"/>
    <x v="7"/>
    <n v="5759.4117649999998"/>
    <s v="Media"/>
  </r>
  <r>
    <x v="1"/>
    <s v="Peru"/>
    <s v="IFH Peru LTD"/>
    <x v="2"/>
    <x v="1"/>
    <s v="Ringo"/>
    <n v="110491"/>
    <n v="31"/>
    <x v="0"/>
    <x v="7"/>
    <n v="3564.2258059999999"/>
    <s v="Media"/>
  </r>
  <r>
    <x v="1"/>
    <s v="Peru"/>
    <s v="HIDROSTAL S.A."/>
    <x v="3"/>
    <x v="0"/>
    <s v="George"/>
    <n v="68830"/>
    <n v="22"/>
    <x v="0"/>
    <x v="8"/>
    <n v="3128.636364"/>
    <s v="Bajo"/>
  </r>
  <r>
    <x v="1"/>
    <s v="Peru"/>
    <s v="Supermercados Peruanos S.A."/>
    <x v="1"/>
    <x v="1"/>
    <s v="John"/>
    <n v="149151"/>
    <n v="16"/>
    <x v="0"/>
    <x v="6"/>
    <n v="9321.9375"/>
    <s v="Media"/>
  </r>
  <r>
    <x v="1"/>
    <s v="Peru"/>
    <s v="RIMAC Corp"/>
    <x v="1"/>
    <x v="1"/>
    <s v="Ringo"/>
    <n v="108513"/>
    <n v="24"/>
    <x v="1"/>
    <x v="14"/>
    <n v="4521.375"/>
    <s v="Media"/>
  </r>
  <r>
    <x v="1"/>
    <s v="Peru"/>
    <s v="IFH Peru LTD"/>
    <x v="5"/>
    <x v="1"/>
    <s v="Ringo"/>
    <n v="181185"/>
    <n v="18"/>
    <x v="2"/>
    <x v="7"/>
    <n v="10065.833329999999"/>
    <s v="Media"/>
  </r>
  <r>
    <x v="1"/>
    <s v="Peru"/>
    <s v="Seguros Internos SAC"/>
    <x v="1"/>
    <x v="1"/>
    <s v="John"/>
    <n v="51754"/>
    <n v="20"/>
    <x v="0"/>
    <x v="6"/>
    <n v="2587.6999999999998"/>
    <s v="Bajo"/>
  </r>
  <r>
    <x v="1"/>
    <s v="Peru"/>
    <s v="AUSTRAL Inc"/>
    <x v="6"/>
    <x v="0"/>
    <s v="Ringo"/>
    <n v="111529"/>
    <n v="29"/>
    <x v="4"/>
    <x v="8"/>
    <n v="3845.8275859999999"/>
    <s v="Media"/>
  </r>
  <r>
    <x v="1"/>
    <s v="Peru"/>
    <s v="LUCKY S.A.C."/>
    <x v="6"/>
    <x v="0"/>
    <s v="Ringo"/>
    <n v="194179"/>
    <n v="32"/>
    <x v="0"/>
    <x v="14"/>
    <n v="6068.09375"/>
    <s v="Media"/>
  </r>
  <r>
    <x v="1"/>
    <s v="Peru"/>
    <s v="IFH Peru LTD"/>
    <x v="2"/>
    <x v="1"/>
    <s v="Ringo"/>
    <n v="164188"/>
    <n v="42"/>
    <x v="4"/>
    <x v="7"/>
    <n v="3909.2380950000002"/>
    <s v="Media"/>
  </r>
  <r>
    <x v="1"/>
    <s v="Peru"/>
    <s v="Seguros Internos SAC"/>
    <x v="2"/>
    <x v="1"/>
    <s v="John"/>
    <n v="121544"/>
    <n v="16"/>
    <x v="2"/>
    <x v="5"/>
    <n v="7596.5"/>
    <s v="Media"/>
  </r>
  <r>
    <x v="1"/>
    <s v="Peru"/>
    <s v="Seguros Internos SAC"/>
    <x v="1"/>
    <x v="1"/>
    <s v="John"/>
    <n v="132595"/>
    <n v="16"/>
    <x v="0"/>
    <x v="6"/>
    <n v="8287.1875"/>
    <s v="Media"/>
  </r>
  <r>
    <x v="1"/>
    <s v="Peru"/>
    <s v="HUDBAY PERU S.A.C."/>
    <x v="6"/>
    <x v="0"/>
    <s v="Ringo"/>
    <n v="170365"/>
    <n v="17"/>
    <x v="4"/>
    <x v="13"/>
    <n v="10021.470590000001"/>
    <s v="Media"/>
  </r>
  <r>
    <x v="1"/>
    <s v="Peru"/>
    <s v="Radios Unidos por el pais"/>
    <x v="6"/>
    <x v="0"/>
    <s v="John"/>
    <n v="113234"/>
    <n v="25"/>
    <x v="4"/>
    <x v="11"/>
    <n v="4529.3599999999997"/>
    <s v="Media"/>
  </r>
  <r>
    <x v="1"/>
    <s v="Peru"/>
    <s v="IFH Peru LTD"/>
    <x v="5"/>
    <x v="1"/>
    <s v="Ringo"/>
    <n v="226741"/>
    <n v="26"/>
    <x v="2"/>
    <x v="7"/>
    <n v="8720.8076920000003"/>
    <s v="Alta"/>
  </r>
  <r>
    <x v="1"/>
    <s v="Peru"/>
    <s v="COMPARTAMOS FINANCIERA S.A."/>
    <x v="7"/>
    <x v="0"/>
    <s v="John"/>
    <n v="206321"/>
    <n v="21"/>
    <x v="4"/>
    <x v="15"/>
    <n v="9824.8095240000002"/>
    <s v="Alta"/>
  </r>
  <r>
    <x v="1"/>
    <s v="Peru"/>
    <s v="IFH Peru LTD"/>
    <x v="2"/>
    <x v="1"/>
    <s v="Ringo"/>
    <n v="69721"/>
    <n v="28"/>
    <x v="4"/>
    <x v="7"/>
    <n v="2490.0357140000001"/>
    <s v="Bajo"/>
  </r>
  <r>
    <x v="1"/>
    <s v="Peru"/>
    <s v="Minera de Cobre Supremo"/>
    <x v="1"/>
    <x v="1"/>
    <s v="Paul"/>
    <n v="76974"/>
    <n v="17"/>
    <x v="3"/>
    <x v="6"/>
    <n v="4527.882353"/>
    <s v="Bajo"/>
  </r>
  <r>
    <x v="1"/>
    <s v="Peru"/>
    <s v="HIDROSTAL S.A."/>
    <x v="3"/>
    <x v="0"/>
    <s v="George"/>
    <n v="174407"/>
    <n v="22"/>
    <x v="0"/>
    <x v="8"/>
    <n v="7927.5909089999996"/>
    <s v="Media"/>
  </r>
  <r>
    <x v="1"/>
    <s v="Peru"/>
    <s v="Seguros Internos SAC"/>
    <x v="1"/>
    <x v="1"/>
    <s v="John"/>
    <n v="149823"/>
    <n v="40"/>
    <x v="0"/>
    <x v="6"/>
    <n v="3745.5749999999998"/>
    <s v="Media"/>
  </r>
  <r>
    <x v="1"/>
    <s v="Peru"/>
    <s v="IFH Peru LTD"/>
    <x v="1"/>
    <x v="1"/>
    <s v="John"/>
    <n v="68074"/>
    <n v="18"/>
    <x v="4"/>
    <x v="16"/>
    <n v="3781.8888889999998"/>
    <s v="Bajo"/>
  </r>
  <r>
    <x v="2"/>
    <s v="Peru"/>
    <s v="Minera Norteña"/>
    <x v="6"/>
    <x v="0"/>
    <s v="Ringo"/>
    <n v="204873"/>
    <n v="39"/>
    <x v="1"/>
    <x v="9"/>
    <n v="5253.1538460000002"/>
    <s v="Alta"/>
  </r>
  <r>
    <x v="2"/>
    <s v="Peru"/>
    <s v="IFH Peru LTD"/>
    <x v="2"/>
    <x v="1"/>
    <s v="Ringo"/>
    <n v="135721"/>
    <n v="34"/>
    <x v="3"/>
    <x v="7"/>
    <n v="3991.7941179999998"/>
    <s v="Media"/>
  </r>
  <r>
    <x v="2"/>
    <s v="Peru"/>
    <s v="Seguros Internos SAC"/>
    <x v="1"/>
    <x v="1"/>
    <s v="John"/>
    <n v="239233"/>
    <n v="20"/>
    <x v="3"/>
    <x v="6"/>
    <n v="11961.65"/>
    <s v="Alta"/>
  </r>
  <r>
    <x v="2"/>
    <s v="Peru"/>
    <s v="Seguros Internos SAC"/>
    <x v="1"/>
    <x v="1"/>
    <s v="John"/>
    <n v="203792"/>
    <n v="26"/>
    <x v="2"/>
    <x v="6"/>
    <n v="7838.1538460000002"/>
    <s v="Alta"/>
  </r>
  <r>
    <x v="2"/>
    <s v="Peru"/>
    <s v="Tiendas Wang"/>
    <x v="6"/>
    <x v="0"/>
    <s v="Ringo"/>
    <n v="72604"/>
    <n v="31"/>
    <x v="2"/>
    <x v="9"/>
    <n v="2342.0645159999999"/>
    <s v="Bajo"/>
  </r>
  <r>
    <x v="2"/>
    <s v="Peru"/>
    <s v="SIERRA MACHINES S.A.C."/>
    <x v="4"/>
    <x v="0"/>
    <s v="Ringo"/>
    <n v="202638"/>
    <n v="39"/>
    <x v="4"/>
    <x v="6"/>
    <n v="5195.8461539999998"/>
    <s v="Alta"/>
  </r>
  <r>
    <x v="2"/>
    <s v="Peru"/>
    <s v="Importaciones D A F T"/>
    <x v="4"/>
    <x v="0"/>
    <s v="Ringo"/>
    <n v="53364"/>
    <n v="26"/>
    <x v="4"/>
    <x v="8"/>
    <n v="2052.461538"/>
    <s v="Bajo"/>
  </r>
  <r>
    <x v="2"/>
    <s v="Peru"/>
    <s v="IFH Peru LTD"/>
    <x v="1"/>
    <x v="1"/>
    <s v="Ringo"/>
    <n v="242535"/>
    <n v="21"/>
    <x v="1"/>
    <x v="10"/>
    <n v="11549.28571"/>
    <s v="Alta"/>
  </r>
  <r>
    <x v="2"/>
    <s v="Peru"/>
    <s v="Seguros Internos SAC"/>
    <x v="1"/>
    <x v="1"/>
    <s v="John"/>
    <n v="242600"/>
    <n v="20"/>
    <x v="0"/>
    <x v="6"/>
    <n v="12130"/>
    <s v="Alta"/>
  </r>
  <r>
    <x v="2"/>
    <s v="Peru"/>
    <s v="Seguros Internos SAC"/>
    <x v="1"/>
    <x v="1"/>
    <s v="John"/>
    <n v="154734"/>
    <n v="25"/>
    <x v="0"/>
    <x v="6"/>
    <n v="6189.36"/>
    <s v="Media"/>
  </r>
  <r>
    <x v="2"/>
    <s v="Peru"/>
    <s v="Seguros Internos SAC"/>
    <x v="1"/>
    <x v="1"/>
    <s v="John"/>
    <n v="234847"/>
    <n v="31"/>
    <x v="4"/>
    <x v="6"/>
    <n v="7575.7096769999998"/>
    <s v="Alta"/>
  </r>
  <r>
    <x v="2"/>
    <s v="Peru"/>
    <s v="Seguros Internos SAC"/>
    <x v="1"/>
    <x v="1"/>
    <s v="John"/>
    <n v="205722"/>
    <n v="25"/>
    <x v="2"/>
    <x v="6"/>
    <n v="8228.8799999999992"/>
    <s v="Alta"/>
  </r>
  <r>
    <x v="2"/>
    <s v="Peru"/>
    <s v="SIERRA MACHINES S.A.C."/>
    <x v="4"/>
    <x v="0"/>
    <s v="Ringo"/>
    <n v="200068"/>
    <n v="15"/>
    <x v="0"/>
    <x v="6"/>
    <n v="13337.866669999999"/>
    <s v="Alta"/>
  </r>
  <r>
    <x v="2"/>
    <s v="Peru"/>
    <s v="Tiendas Wang"/>
    <x v="6"/>
    <x v="0"/>
    <s v="Ringo"/>
    <n v="175818"/>
    <n v="40"/>
    <x v="2"/>
    <x v="9"/>
    <n v="4395.45"/>
    <s v="Media"/>
  </r>
  <r>
    <x v="2"/>
    <s v="Peru"/>
    <s v="MOLINOS &amp; CIA S.A."/>
    <x v="6"/>
    <x v="0"/>
    <s v="Ringo"/>
    <n v="158704"/>
    <n v="19"/>
    <x v="1"/>
    <x v="9"/>
    <n v="8352.8421049999997"/>
    <s v="Media"/>
  </r>
  <r>
    <x v="3"/>
    <s v="Peru"/>
    <s v="IFH Peru LTD"/>
    <x v="2"/>
    <x v="1"/>
    <s v="Ringo"/>
    <n v="104352"/>
    <n v="38"/>
    <x v="0"/>
    <x v="7"/>
    <n v="2746.1052629999999"/>
    <s v="Media"/>
  </r>
  <r>
    <x v="3"/>
    <s v="Peru"/>
    <s v="Periodicos Nuevos"/>
    <x v="3"/>
    <x v="0"/>
    <s v="John"/>
    <n v="130549"/>
    <n v="28"/>
    <x v="4"/>
    <x v="9"/>
    <n v="4662.4642860000004"/>
    <s v="Media"/>
  </r>
  <r>
    <x v="3"/>
    <s v="Peru"/>
    <s v="Tiendas Wang"/>
    <x v="6"/>
    <x v="0"/>
    <s v="Ringo"/>
    <n v="124082"/>
    <n v="28"/>
    <x v="3"/>
    <x v="9"/>
    <n v="4431.5"/>
    <s v="Media"/>
  </r>
  <r>
    <x v="3"/>
    <s v="Peru"/>
    <s v="Supermercados Peruanos S.A."/>
    <x v="1"/>
    <x v="1"/>
    <s v="John"/>
    <n v="237385"/>
    <n v="26"/>
    <x v="2"/>
    <x v="6"/>
    <n v="9130.1923079999997"/>
    <s v="Alta"/>
  </r>
  <r>
    <x v="3"/>
    <s v="Peru"/>
    <s v="Electro Este"/>
    <x v="2"/>
    <x v="0"/>
    <s v="John"/>
    <n v="245254"/>
    <n v="19"/>
    <x v="4"/>
    <x v="14"/>
    <n v="12908.10526"/>
    <s v="Alta"/>
  </r>
  <r>
    <x v="3"/>
    <s v="Peru"/>
    <s v="BOTICAS &amp; SALUD S.A.C."/>
    <x v="3"/>
    <x v="0"/>
    <s v="Ringo"/>
    <n v="231817"/>
    <n v="41"/>
    <x v="4"/>
    <x v="8"/>
    <n v="5654.073171"/>
    <s v="Alta"/>
  </r>
  <r>
    <x v="3"/>
    <s v="Peru"/>
    <s v="IFH Peru LTD"/>
    <x v="5"/>
    <x v="1"/>
    <s v="Ringo"/>
    <n v="114877"/>
    <n v="23"/>
    <x v="4"/>
    <x v="7"/>
    <n v="4994.6521739999998"/>
    <s v="Media"/>
  </r>
  <r>
    <x v="4"/>
    <s v="Peru"/>
    <s v="Servicios Generales"/>
    <x v="5"/>
    <x v="1"/>
    <s v="Ringo"/>
    <n v="167095"/>
    <n v="42"/>
    <x v="0"/>
    <x v="6"/>
    <n v="3978.4523810000001"/>
    <s v="Media"/>
  </r>
  <r>
    <x v="4"/>
    <s v="Peru"/>
    <s v="Importaciones D A F T"/>
    <x v="4"/>
    <x v="0"/>
    <s v="Ringo"/>
    <n v="111841"/>
    <n v="25"/>
    <x v="2"/>
    <x v="8"/>
    <n v="4473.6400000000003"/>
    <s v="Media"/>
  </r>
  <r>
    <x v="4"/>
    <s v="Peru"/>
    <s v="Seguros Internos SAC"/>
    <x v="1"/>
    <x v="1"/>
    <s v="John"/>
    <n v="103662"/>
    <n v="18"/>
    <x v="0"/>
    <x v="6"/>
    <n v="5759"/>
    <s v="Media"/>
  </r>
  <r>
    <x v="4"/>
    <s v="Peru"/>
    <s v="Seguros Internos SAC"/>
    <x v="2"/>
    <x v="1"/>
    <s v="John"/>
    <n v="202094"/>
    <n v="38"/>
    <x v="0"/>
    <x v="5"/>
    <n v="5318.2631579999997"/>
    <s v="Alta"/>
  </r>
  <r>
    <x v="4"/>
    <s v="Peru"/>
    <s v="BOTICAS &amp; SALUD S.A.C."/>
    <x v="3"/>
    <x v="0"/>
    <s v="Ringo"/>
    <n v="107557"/>
    <n v="26"/>
    <x v="4"/>
    <x v="8"/>
    <n v="4136.8076920000003"/>
    <s v="Media"/>
  </r>
  <r>
    <x v="4"/>
    <s v="Peru"/>
    <s v="MOLINOS &amp; CIA S.A."/>
    <x v="6"/>
    <x v="0"/>
    <s v="Ringo"/>
    <n v="139514"/>
    <n v="28"/>
    <x v="1"/>
    <x v="9"/>
    <n v="4982.6428569999998"/>
    <s v="Media"/>
  </r>
  <r>
    <x v="4"/>
    <s v="Peru"/>
    <s v="TEXTIL DEL VALLE S.A."/>
    <x v="7"/>
    <x v="0"/>
    <s v="Ringo"/>
    <n v="123929"/>
    <n v="37"/>
    <x v="1"/>
    <x v="6"/>
    <n v="3349.4324320000001"/>
    <s v="Media"/>
  </r>
  <r>
    <x v="4"/>
    <s v="Peru"/>
    <s v="Radios Unidos por el pais"/>
    <x v="5"/>
    <x v="1"/>
    <s v="Ringo"/>
    <n v="142783"/>
    <n v="23"/>
    <x v="1"/>
    <x v="10"/>
    <n v="6207.9565220000004"/>
    <s v="Media"/>
  </r>
  <r>
    <x v="4"/>
    <s v="Peru"/>
    <s v="IFH Peru LTD"/>
    <x v="2"/>
    <x v="1"/>
    <s v="Ringo"/>
    <n v="169909"/>
    <n v="16"/>
    <x v="0"/>
    <x v="7"/>
    <n v="10619.3125"/>
    <s v="Media"/>
  </r>
  <r>
    <x v="5"/>
    <s v="Peru"/>
    <s v="Gloria"/>
    <x v="0"/>
    <x v="0"/>
    <s v="Ringo"/>
    <n v="83240"/>
    <n v="15"/>
    <x v="4"/>
    <x v="17"/>
    <n v="5549.3333329999996"/>
    <s v="Bajo"/>
  </r>
  <r>
    <x v="5"/>
    <s v="Peru"/>
    <s v="Tractores Unidos"/>
    <x v="1"/>
    <x v="1"/>
    <s v="Ringo"/>
    <n v="129703"/>
    <n v="24"/>
    <x v="3"/>
    <x v="18"/>
    <n v="5404.2916670000004"/>
    <s v="Media"/>
  </r>
  <r>
    <x v="6"/>
    <s v="Peru"/>
    <s v="Compañia Minera Poderosa, S.A."/>
    <x v="3"/>
    <x v="0"/>
    <s v="Ringo"/>
    <n v="168289"/>
    <n v="28"/>
    <x v="0"/>
    <x v="17"/>
    <n v="6010.3214289999996"/>
    <s v="Media"/>
  </r>
  <r>
    <x v="6"/>
    <s v="Peru"/>
    <s v="Supermercados Peruanos S.A."/>
    <x v="1"/>
    <x v="1"/>
    <s v="Ringo"/>
    <n v="80286"/>
    <n v="29"/>
    <x v="1"/>
    <x v="18"/>
    <n v="2768.482759"/>
    <s v="Bajo"/>
  </r>
  <r>
    <x v="6"/>
    <s v="Peru"/>
    <s v="Automotores Distribuidos"/>
    <x v="7"/>
    <x v="0"/>
    <s v="Ringo"/>
    <n v="172701"/>
    <n v="21"/>
    <x v="4"/>
    <x v="19"/>
    <n v="8223.8571429999993"/>
    <s v="Media"/>
  </r>
  <r>
    <x v="0"/>
    <s v="Peru"/>
    <s v="Maquillajes Unidos"/>
    <x v="1"/>
    <x v="1"/>
    <s v="Ringo"/>
    <n v="190132"/>
    <n v="28"/>
    <x v="2"/>
    <x v="19"/>
    <n v="6790.4285710000004"/>
    <s v="Media"/>
  </r>
  <r>
    <x v="0"/>
    <s v="Peru"/>
    <s v="Compañia Minera Poderosa, S.A."/>
    <x v="3"/>
    <x v="0"/>
    <s v="Ringo"/>
    <n v="241320"/>
    <n v="33"/>
    <x v="2"/>
    <x v="17"/>
    <n v="7312.7272730000004"/>
    <s v="Alta"/>
  </r>
  <r>
    <x v="0"/>
    <s v="Peru"/>
    <s v="Compañia Minera Poderosa, S.A."/>
    <x v="3"/>
    <x v="0"/>
    <s v="Ringo"/>
    <n v="135809"/>
    <n v="18"/>
    <x v="0"/>
    <x v="17"/>
    <n v="7544.9444439999997"/>
    <s v="Media"/>
  </r>
  <r>
    <x v="0"/>
    <s v="Peru"/>
    <s v="Compañia Minera Poderosa, S.A."/>
    <x v="3"/>
    <x v="0"/>
    <s v="Ringo"/>
    <n v="172082"/>
    <n v="30"/>
    <x v="2"/>
    <x v="17"/>
    <n v="5736.0666670000001"/>
    <s v="Media"/>
  </r>
  <r>
    <x v="0"/>
    <s v="Peru"/>
    <s v="Compañia Minera Poderosa, S.A."/>
    <x v="3"/>
    <x v="0"/>
    <s v="Ringo"/>
    <n v="151283"/>
    <n v="29"/>
    <x v="0"/>
    <x v="17"/>
    <n v="5216.6551719999998"/>
    <s v="Media"/>
  </r>
  <r>
    <x v="0"/>
    <s v="Peru"/>
    <s v="Compañia Minera Poderosa, S.A."/>
    <x v="0"/>
    <x v="0"/>
    <s v="Ringo"/>
    <n v="219157"/>
    <n v="15"/>
    <x v="0"/>
    <x v="17"/>
    <n v="14610.46667"/>
    <s v="Alta"/>
  </r>
  <r>
    <x v="7"/>
    <s v="Peru"/>
    <s v="CLINICA INTERNACIONAL S.A."/>
    <x v="1"/>
    <x v="1"/>
    <s v="John"/>
    <n v="62548"/>
    <n v="24"/>
    <x v="0"/>
    <x v="20"/>
    <n v="2606.166667"/>
    <s v="Bajo"/>
  </r>
  <r>
    <x v="7"/>
    <s v="Peru"/>
    <s v="Gloria"/>
    <x v="0"/>
    <x v="0"/>
    <s v="Ringo"/>
    <n v="134349"/>
    <n v="21"/>
    <x v="4"/>
    <x v="17"/>
    <n v="6397.5714289999996"/>
    <s v="Media"/>
  </r>
  <r>
    <x v="7"/>
    <s v="Peru"/>
    <s v="Gloria"/>
    <x v="0"/>
    <x v="0"/>
    <s v="Ringo"/>
    <n v="110899"/>
    <n v="25"/>
    <x v="4"/>
    <x v="17"/>
    <n v="4435.96"/>
    <s v="Media"/>
  </r>
  <r>
    <x v="7"/>
    <s v="Peru"/>
    <s v="FORZA S.A."/>
    <x v="0"/>
    <x v="0"/>
    <s v="Ringo"/>
    <n v="226877"/>
    <n v="23"/>
    <x v="1"/>
    <x v="19"/>
    <n v="9864.2173910000001"/>
    <s v="Alta"/>
  </r>
  <r>
    <x v="7"/>
    <s v="Peru"/>
    <s v="Compañia Minera Poderosa, S.A."/>
    <x v="3"/>
    <x v="0"/>
    <s v="Ringo"/>
    <n v="210657"/>
    <n v="36"/>
    <x v="0"/>
    <x v="17"/>
    <n v="5851.5833329999996"/>
    <s v="Alta"/>
  </r>
  <r>
    <x v="7"/>
    <s v="Peru"/>
    <s v="Servicios Generales"/>
    <x v="1"/>
    <x v="1"/>
    <s v="Ringo"/>
    <n v="60791"/>
    <n v="15"/>
    <x v="3"/>
    <x v="18"/>
    <n v="4052.7333330000001"/>
    <s v="Bajo"/>
  </r>
  <r>
    <x v="7"/>
    <s v="Peru"/>
    <s v="Compañia Minera Poderosa, S.A."/>
    <x v="3"/>
    <x v="0"/>
    <s v="Ringo"/>
    <n v="175961"/>
    <n v="19"/>
    <x v="0"/>
    <x v="17"/>
    <n v="9261.1052629999995"/>
    <s v="Media"/>
  </r>
  <r>
    <x v="7"/>
    <s v="Peru"/>
    <s v="CLINICA INTERNACIONAL S.A."/>
    <x v="1"/>
    <x v="1"/>
    <s v="John"/>
    <n v="126313"/>
    <n v="36"/>
    <x v="3"/>
    <x v="20"/>
    <n v="3508.6944440000002"/>
    <s v="Media"/>
  </r>
  <r>
    <x v="7"/>
    <s v="Peru"/>
    <s v="Compañia Minera Poderosa, S.A."/>
    <x v="3"/>
    <x v="0"/>
    <s v="Ringo"/>
    <n v="128603"/>
    <n v="30"/>
    <x v="2"/>
    <x v="17"/>
    <n v="4286.7666669999999"/>
    <s v="Media"/>
  </r>
  <r>
    <x v="7"/>
    <s v="Peru"/>
    <s v="Radios Unidos por el pais"/>
    <x v="1"/>
    <x v="1"/>
    <s v="Ringo"/>
    <n v="179961"/>
    <n v="15"/>
    <x v="3"/>
    <x v="21"/>
    <n v="11997.4"/>
    <s v="Media"/>
  </r>
  <r>
    <x v="7"/>
    <s v="Peru"/>
    <s v="Periodicos Nuevos"/>
    <x v="0"/>
    <x v="0"/>
    <s v="John"/>
    <n v="191978"/>
    <n v="41"/>
    <x v="3"/>
    <x v="18"/>
    <n v="4682.3902440000002"/>
    <s v="Media"/>
  </r>
  <r>
    <x v="7"/>
    <s v="Peru"/>
    <s v="JJC Contratistas"/>
    <x v="7"/>
    <x v="0"/>
    <s v="Ringo"/>
    <n v="205687"/>
    <n v="41"/>
    <x v="3"/>
    <x v="22"/>
    <n v="5016.7560979999998"/>
    <s v="Alta"/>
  </r>
  <r>
    <x v="7"/>
    <s v="Peru"/>
    <s v="ALS PERU"/>
    <x v="4"/>
    <x v="0"/>
    <s v="Ringo"/>
    <n v="205729"/>
    <n v="28"/>
    <x v="3"/>
    <x v="23"/>
    <n v="7347.4642860000004"/>
    <s v="Alta"/>
  </r>
  <r>
    <x v="7"/>
    <s v="Peru"/>
    <s v="TELCO Internacional"/>
    <x v="1"/>
    <x v="1"/>
    <s v="Ringo"/>
    <n v="245880"/>
    <n v="30"/>
    <x v="4"/>
    <x v="21"/>
    <n v="8196"/>
    <s v="Alta"/>
  </r>
  <r>
    <x v="7"/>
    <s v="Peru"/>
    <s v="Gloria"/>
    <x v="0"/>
    <x v="0"/>
    <s v="Ringo"/>
    <n v="127962"/>
    <n v="23"/>
    <x v="4"/>
    <x v="17"/>
    <n v="5563.5652170000003"/>
    <s v="Media"/>
  </r>
  <r>
    <x v="7"/>
    <s v="Peru"/>
    <s v="TELCO Internacional"/>
    <x v="1"/>
    <x v="1"/>
    <s v="Ringo"/>
    <n v="167037"/>
    <n v="20"/>
    <x v="4"/>
    <x v="21"/>
    <n v="8351.85"/>
    <s v="Media"/>
  </r>
  <r>
    <x v="7"/>
    <s v="Peru"/>
    <s v="Estudio de abogados ZZT"/>
    <x v="6"/>
    <x v="0"/>
    <s v="John"/>
    <n v="184766"/>
    <n v="31"/>
    <x v="2"/>
    <x v="18"/>
    <n v="5960.1935480000002"/>
    <s v="Media"/>
  </r>
  <r>
    <x v="7"/>
    <s v="Peru"/>
    <s v="Estudio de abogados ZZT"/>
    <x v="6"/>
    <x v="0"/>
    <s v="John"/>
    <n v="162092"/>
    <n v="37"/>
    <x v="0"/>
    <x v="18"/>
    <n v="4380.8648649999996"/>
    <s v="Media"/>
  </r>
  <r>
    <x v="7"/>
    <s v="Peru"/>
    <s v="Compañia Minera Poderosa, S.A."/>
    <x v="3"/>
    <x v="0"/>
    <s v="Ringo"/>
    <n v="234372"/>
    <n v="28"/>
    <x v="0"/>
    <x v="17"/>
    <n v="8370.4285710000004"/>
    <s v="Alta"/>
  </r>
  <r>
    <x v="1"/>
    <s v="Peru"/>
    <s v="Automotores Distribuidos"/>
    <x v="7"/>
    <x v="0"/>
    <s v="Ringo"/>
    <n v="67864"/>
    <n v="41"/>
    <x v="4"/>
    <x v="19"/>
    <n v="1655.2195119999999"/>
    <s v="Bajo"/>
  </r>
  <r>
    <x v="1"/>
    <s v="Peru"/>
    <s v="Compañia Minera Poderosa, S.A."/>
    <x v="0"/>
    <x v="0"/>
    <s v="Ringo"/>
    <n v="152749"/>
    <n v="25"/>
    <x v="3"/>
    <x v="17"/>
    <n v="6109.96"/>
    <s v="Media"/>
  </r>
  <r>
    <x v="1"/>
    <s v="Peru"/>
    <s v="Gloria"/>
    <x v="0"/>
    <x v="0"/>
    <s v="Ringo"/>
    <n v="127024"/>
    <n v="39"/>
    <x v="4"/>
    <x v="17"/>
    <n v="3257.0256410000002"/>
    <s v="Media"/>
  </r>
  <r>
    <x v="1"/>
    <s v="Peru"/>
    <s v="Gloria"/>
    <x v="0"/>
    <x v="0"/>
    <s v="Ringo"/>
    <n v="122450"/>
    <n v="31"/>
    <x v="4"/>
    <x v="17"/>
    <n v="3950"/>
    <s v="Media"/>
  </r>
  <r>
    <x v="1"/>
    <s v="Peru"/>
    <s v="H V CONTRATISTAS S.A."/>
    <x v="6"/>
    <x v="0"/>
    <s v="John"/>
    <n v="200134"/>
    <n v="24"/>
    <x v="4"/>
    <x v="24"/>
    <n v="8338.9166669999995"/>
    <s v="Alta"/>
  </r>
  <r>
    <x v="1"/>
    <s v="Peru"/>
    <s v="Estudio de abogados ZZT"/>
    <x v="6"/>
    <x v="0"/>
    <s v="John"/>
    <n v="58563"/>
    <n v="35"/>
    <x v="2"/>
    <x v="18"/>
    <n v="1673.2285710000001"/>
    <s v="Bajo"/>
  </r>
  <r>
    <x v="1"/>
    <s v="Peru"/>
    <s v="Compañia Minera Poderosa, S.A."/>
    <x v="3"/>
    <x v="0"/>
    <s v="Ringo"/>
    <n v="219350"/>
    <n v="39"/>
    <x v="0"/>
    <x v="17"/>
    <n v="5624.3589739999998"/>
    <s v="Alta"/>
  </r>
  <r>
    <x v="1"/>
    <s v="Peru"/>
    <s v="Compañia Minera Poderosa, S.A."/>
    <x v="0"/>
    <x v="0"/>
    <s v="Ringo"/>
    <n v="147048"/>
    <n v="35"/>
    <x v="0"/>
    <x v="17"/>
    <n v="4201.3714289999998"/>
    <s v="Media"/>
  </r>
  <r>
    <x v="1"/>
    <s v="Peru"/>
    <s v="CLINICA INTERNACIONAL S.A."/>
    <x v="1"/>
    <x v="1"/>
    <s v="John"/>
    <n v="58680"/>
    <n v="19"/>
    <x v="2"/>
    <x v="20"/>
    <n v="3088.421053"/>
    <s v="Bajo"/>
  </r>
  <r>
    <x v="1"/>
    <s v="Peru"/>
    <s v="Compañia Minera Poderosa, S.A."/>
    <x v="3"/>
    <x v="0"/>
    <s v="Ringo"/>
    <n v="52997"/>
    <n v="42"/>
    <x v="4"/>
    <x v="17"/>
    <n v="1261.833333"/>
    <s v="Bajo"/>
  </r>
  <r>
    <x v="1"/>
    <s v="Peru"/>
    <s v="Compañia Minera Poderosa, S.A."/>
    <x v="0"/>
    <x v="0"/>
    <s v="Ringo"/>
    <n v="137646"/>
    <n v="24"/>
    <x v="0"/>
    <x v="17"/>
    <n v="5735.25"/>
    <s v="Media"/>
  </r>
  <r>
    <x v="1"/>
    <s v="Peru"/>
    <s v="LA ARENA S.A."/>
    <x v="6"/>
    <x v="0"/>
    <s v="Ringo"/>
    <n v="119235"/>
    <n v="18"/>
    <x v="4"/>
    <x v="17"/>
    <n v="6624.1666670000004"/>
    <s v="Media"/>
  </r>
  <r>
    <x v="1"/>
    <s v="Peru"/>
    <s v="JJC Contratistas"/>
    <x v="7"/>
    <x v="0"/>
    <s v="John"/>
    <n v="180137"/>
    <n v="42"/>
    <x v="4"/>
    <x v="24"/>
    <n v="4288.9761900000003"/>
    <s v="Media"/>
  </r>
  <r>
    <x v="1"/>
    <s v="Peru"/>
    <s v="RIMAC Corp"/>
    <x v="1"/>
    <x v="1"/>
    <s v="John"/>
    <n v="151194"/>
    <n v="28"/>
    <x v="0"/>
    <x v="20"/>
    <n v="5399.7857139999996"/>
    <s v="Media"/>
  </r>
  <r>
    <x v="1"/>
    <s v="Peru"/>
    <s v="Compañia Minera Poderosa, S.A."/>
    <x v="3"/>
    <x v="0"/>
    <s v="Ringo"/>
    <n v="90433"/>
    <n v="19"/>
    <x v="0"/>
    <x v="17"/>
    <n v="4759.6315789999999"/>
    <s v="Bajo"/>
  </r>
  <r>
    <x v="2"/>
    <s v="Peru"/>
    <s v="Banco Interno"/>
    <x v="5"/>
    <x v="1"/>
    <s v="Ringo"/>
    <n v="130695"/>
    <n v="28"/>
    <x v="1"/>
    <x v="18"/>
    <n v="4667.6785710000004"/>
    <s v="Media"/>
  </r>
  <r>
    <x v="2"/>
    <s v="Peru"/>
    <s v="Compañia Minera Poderosa, S.A."/>
    <x v="3"/>
    <x v="0"/>
    <s v="Ringo"/>
    <n v="59570"/>
    <n v="32"/>
    <x v="0"/>
    <x v="17"/>
    <n v="1861.5625"/>
    <s v="Bajo"/>
  </r>
  <r>
    <x v="2"/>
    <s v="Peru"/>
    <s v="Servicios Generales"/>
    <x v="1"/>
    <x v="1"/>
    <s v="Ringo"/>
    <n v="205191"/>
    <n v="23"/>
    <x v="0"/>
    <x v="18"/>
    <n v="8921.3478259999993"/>
    <s v="Alta"/>
  </r>
  <r>
    <x v="2"/>
    <s v="Peru"/>
    <s v="CLINICA INTERNACIONAL S.A."/>
    <x v="1"/>
    <x v="1"/>
    <s v="John"/>
    <n v="185827"/>
    <n v="30"/>
    <x v="2"/>
    <x v="20"/>
    <n v="6194.2333330000001"/>
    <s v="Media"/>
  </r>
  <r>
    <x v="2"/>
    <s v="Peru"/>
    <s v="Estudio de abogados ZZT"/>
    <x v="6"/>
    <x v="0"/>
    <s v="John"/>
    <n v="195136"/>
    <n v="37"/>
    <x v="4"/>
    <x v="18"/>
    <n v="5273.9459459999998"/>
    <s v="Media"/>
  </r>
  <r>
    <x v="2"/>
    <s v="Peru"/>
    <s v="Gloria"/>
    <x v="0"/>
    <x v="0"/>
    <s v="Ringo"/>
    <n v="156943"/>
    <n v="39"/>
    <x v="4"/>
    <x v="17"/>
    <n v="4024.1794869999999"/>
    <s v="Media"/>
  </r>
  <r>
    <x v="2"/>
    <s v="Peru"/>
    <s v="NEXTEL PERU S.A."/>
    <x v="1"/>
    <x v="1"/>
    <s v="Ringo"/>
    <n v="117907"/>
    <n v="22"/>
    <x v="2"/>
    <x v="18"/>
    <n v="5359.4090910000004"/>
    <s v="Media"/>
  </r>
  <r>
    <x v="2"/>
    <s v="Peru"/>
    <s v="Compañia Minera Poderosa, S.A."/>
    <x v="3"/>
    <x v="0"/>
    <s v="Ringo"/>
    <n v="75131"/>
    <n v="20"/>
    <x v="0"/>
    <x v="17"/>
    <n v="3756.55"/>
    <s v="Bajo"/>
  </r>
  <r>
    <x v="2"/>
    <s v="Peru"/>
    <s v="Gloria"/>
    <x v="0"/>
    <x v="0"/>
    <s v="Ringo"/>
    <n v="167729"/>
    <n v="38"/>
    <x v="4"/>
    <x v="17"/>
    <n v="4413.921053"/>
    <s v="Media"/>
  </r>
  <r>
    <x v="2"/>
    <s v="Peru"/>
    <s v="Compañia Minera Poderosa, S.A."/>
    <x v="3"/>
    <x v="0"/>
    <s v="Ringo"/>
    <n v="113856"/>
    <n v="20"/>
    <x v="0"/>
    <x v="17"/>
    <n v="5692.8"/>
    <s v="Media"/>
  </r>
  <r>
    <x v="2"/>
    <s v="Peru"/>
    <s v="Compañia Minera Poderosa, S.A."/>
    <x v="3"/>
    <x v="0"/>
    <s v="Ringo"/>
    <n v="133544"/>
    <n v="24"/>
    <x v="0"/>
    <x v="17"/>
    <n v="5564.3333329999996"/>
    <s v="Media"/>
  </r>
  <r>
    <x v="2"/>
    <s v="Peru"/>
    <s v="Compañia Minera Poderosa, S.A."/>
    <x v="3"/>
    <x v="0"/>
    <s v="Ringo"/>
    <n v="135581"/>
    <n v="17"/>
    <x v="0"/>
    <x v="17"/>
    <n v="7975.3529410000001"/>
    <s v="Media"/>
  </r>
  <r>
    <x v="2"/>
    <s v="Peru"/>
    <s v="TELCO Internacional"/>
    <x v="1"/>
    <x v="1"/>
    <s v="Ringo"/>
    <n v="190024"/>
    <n v="34"/>
    <x v="1"/>
    <x v="18"/>
    <n v="5588.9411760000003"/>
    <s v="Media"/>
  </r>
  <r>
    <x v="3"/>
    <s v="Peru"/>
    <s v="ALS PERU"/>
    <x v="4"/>
    <x v="0"/>
    <s v="Ringo"/>
    <n v="220732"/>
    <n v="23"/>
    <x v="2"/>
    <x v="23"/>
    <n v="9597.0434779999996"/>
    <s v="Alta"/>
  </r>
  <r>
    <x v="3"/>
    <s v="Peru"/>
    <s v="Sociedad de Mineria Nueva"/>
    <x v="4"/>
    <x v="0"/>
    <s v="John"/>
    <n v="245623"/>
    <n v="41"/>
    <x v="4"/>
    <x v="23"/>
    <n v="5990.8048779999999"/>
    <s v="Alta"/>
  </r>
  <r>
    <x v="3"/>
    <s v="Peru"/>
    <s v="Compañia Minera Poderosa, S.A."/>
    <x v="3"/>
    <x v="0"/>
    <s v="Ringo"/>
    <n v="204029"/>
    <n v="16"/>
    <x v="2"/>
    <x v="17"/>
    <n v="12751.8125"/>
    <s v="Alta"/>
  </r>
  <r>
    <x v="3"/>
    <s v="Peru"/>
    <s v="Gloria"/>
    <x v="0"/>
    <x v="0"/>
    <s v="Ringo"/>
    <n v="148290"/>
    <n v="38"/>
    <x v="4"/>
    <x v="17"/>
    <n v="3902.3684210000001"/>
    <s v="Media"/>
  </r>
  <r>
    <x v="3"/>
    <s v="Peru"/>
    <s v="Gloria"/>
    <x v="0"/>
    <x v="0"/>
    <s v="Ringo"/>
    <n v="203682"/>
    <n v="35"/>
    <x v="4"/>
    <x v="17"/>
    <n v="5819.4857140000004"/>
    <s v="Alta"/>
  </r>
  <r>
    <x v="3"/>
    <s v="Peru"/>
    <s v="NEXTEL PERU S.A."/>
    <x v="1"/>
    <x v="1"/>
    <s v="Ringo"/>
    <n v="188033"/>
    <n v="36"/>
    <x v="3"/>
    <x v="18"/>
    <n v="5223.1388889999998"/>
    <s v="Media"/>
  </r>
  <r>
    <x v="3"/>
    <s v="Peru"/>
    <s v="Profuturo AFP"/>
    <x v="5"/>
    <x v="1"/>
    <s v="John"/>
    <n v="67771"/>
    <n v="23"/>
    <x v="0"/>
    <x v="18"/>
    <n v="2946.5652169999998"/>
    <s v="Bajo"/>
  </r>
  <r>
    <x v="3"/>
    <s v="Peru"/>
    <s v="Compañia Minera Poderosa, S.A."/>
    <x v="3"/>
    <x v="0"/>
    <s v="Ringo"/>
    <n v="135986"/>
    <n v="33"/>
    <x v="0"/>
    <x v="17"/>
    <n v="4120.7878790000004"/>
    <s v="Media"/>
  </r>
  <r>
    <x v="3"/>
    <s v="Peru"/>
    <s v="Gloria"/>
    <x v="0"/>
    <x v="0"/>
    <s v="Ringo"/>
    <n v="246000"/>
    <n v="17"/>
    <x v="4"/>
    <x v="17"/>
    <n v="14470.588239999999"/>
    <s v="Alta"/>
  </r>
  <r>
    <x v="3"/>
    <s v="Peru"/>
    <s v="Eckerd Peru, S.A."/>
    <x v="1"/>
    <x v="1"/>
    <s v="Ringo"/>
    <n v="126670"/>
    <n v="22"/>
    <x v="1"/>
    <x v="18"/>
    <n v="5757.7272730000004"/>
    <s v="Media"/>
  </r>
  <r>
    <x v="4"/>
    <s v="Peru"/>
    <s v="LA ARENA S.A."/>
    <x v="6"/>
    <x v="0"/>
    <s v="Ringo"/>
    <n v="211989"/>
    <n v="24"/>
    <x v="4"/>
    <x v="17"/>
    <n v="8832.875"/>
    <s v="Alta"/>
  </r>
  <r>
    <x v="4"/>
    <s v="Peru"/>
    <s v="Compañia Minera Poderosa, S.A."/>
    <x v="3"/>
    <x v="0"/>
    <s v="Ringo"/>
    <n v="195974"/>
    <n v="26"/>
    <x v="0"/>
    <x v="17"/>
    <n v="7537.4615379999996"/>
    <s v="Media"/>
  </r>
  <r>
    <x v="4"/>
    <s v="Peru"/>
    <s v="Compañia Minera Poderosa, S.A."/>
    <x v="3"/>
    <x v="0"/>
    <s v="Ringo"/>
    <n v="80637"/>
    <n v="15"/>
    <x v="0"/>
    <x v="17"/>
    <n v="5375.8"/>
    <s v="Bajo"/>
  </r>
  <r>
    <x v="4"/>
    <s v="Peru"/>
    <s v="Maquillajes Unidos"/>
    <x v="1"/>
    <x v="1"/>
    <s v="Ringo"/>
    <n v="163205"/>
    <n v="27"/>
    <x v="0"/>
    <x v="19"/>
    <n v="6044.6296300000004"/>
    <s v="Media"/>
  </r>
  <r>
    <x v="4"/>
    <s v="Peru"/>
    <s v="Compañia Minera Poderosa, S.A."/>
    <x v="3"/>
    <x v="0"/>
    <s v="Ringo"/>
    <n v="90539"/>
    <n v="28"/>
    <x v="0"/>
    <x v="17"/>
    <n v="3233.5357140000001"/>
    <s v="Bajo"/>
  </r>
  <r>
    <x v="4"/>
    <s v="Peru"/>
    <s v="Compañia Minera Poderosa, S.A."/>
    <x v="3"/>
    <x v="0"/>
    <s v="Ringo"/>
    <n v="56750"/>
    <n v="36"/>
    <x v="4"/>
    <x v="17"/>
    <n v="1576.3888890000001"/>
    <s v="Bajo"/>
  </r>
  <r>
    <x v="4"/>
    <s v="Peru"/>
    <s v="Banco Inca"/>
    <x v="1"/>
    <x v="1"/>
    <s v="Ringo"/>
    <n v="111493"/>
    <n v="22"/>
    <x v="1"/>
    <x v="21"/>
    <n v="5067.863636"/>
    <s v="Media"/>
  </r>
  <r>
    <x v="4"/>
    <s v="Peru"/>
    <s v="Sociedad de Mineria Nueva"/>
    <x v="4"/>
    <x v="0"/>
    <s v="John"/>
    <n v="205025"/>
    <n v="38"/>
    <x v="3"/>
    <x v="23"/>
    <n v="5395.3947369999996"/>
    <s v="Alta"/>
  </r>
  <r>
    <x v="4"/>
    <s v="Peru"/>
    <s v="Gloria"/>
    <x v="0"/>
    <x v="0"/>
    <s v="Ringo"/>
    <n v="120213"/>
    <n v="18"/>
    <x v="4"/>
    <x v="17"/>
    <n v="6678.5"/>
    <s v="Media"/>
  </r>
  <r>
    <x v="4"/>
    <s v="Peru"/>
    <s v="Maquillajes Unidos"/>
    <x v="1"/>
    <x v="1"/>
    <s v="Ringo"/>
    <n v="125045"/>
    <n v="37"/>
    <x v="1"/>
    <x v="18"/>
    <n v="3379.594595"/>
    <s v="Media"/>
  </r>
  <r>
    <x v="4"/>
    <s v="Peru"/>
    <s v="Compañia Minera Poderosa, S.A."/>
    <x v="3"/>
    <x v="0"/>
    <s v="Ringo"/>
    <n v="215830"/>
    <n v="39"/>
    <x v="0"/>
    <x v="17"/>
    <n v="5534.1025639999998"/>
    <s v="Alta"/>
  </r>
  <r>
    <x v="4"/>
    <s v="Peru"/>
    <s v="Maquillajes Unidos"/>
    <x v="1"/>
    <x v="1"/>
    <s v="Ringo"/>
    <n v="55065"/>
    <n v="34"/>
    <x v="4"/>
    <x v="19"/>
    <n v="1619.558824"/>
    <s v="Bajo"/>
  </r>
  <r>
    <x v="5"/>
    <s v="Peru"/>
    <s v="RIMAC Corp"/>
    <x v="1"/>
    <x v="1"/>
    <s v="Ringo"/>
    <n v="60113"/>
    <n v="26"/>
    <x v="0"/>
    <x v="25"/>
    <n v="2312.038462"/>
    <s v="Bajo"/>
  </r>
  <r>
    <x v="5"/>
    <s v="Peru"/>
    <s v="RIMAC Corp"/>
    <x v="1"/>
    <x v="1"/>
    <s v="Ringo"/>
    <n v="141100"/>
    <n v="16"/>
    <x v="3"/>
    <x v="25"/>
    <n v="8818.75"/>
    <s v="Media"/>
  </r>
  <r>
    <x v="5"/>
    <s v="Peru"/>
    <s v="Maquillajes Unidos"/>
    <x v="1"/>
    <x v="1"/>
    <s v="Ringo"/>
    <n v="73346"/>
    <n v="30"/>
    <x v="3"/>
    <x v="26"/>
    <n v="2444.8666669999998"/>
    <s v="Bajo"/>
  </r>
  <r>
    <x v="6"/>
    <s v="Peru"/>
    <s v="HAUG S.A."/>
    <x v="2"/>
    <x v="0"/>
    <s v="Ringo"/>
    <n v="198166"/>
    <n v="24"/>
    <x v="2"/>
    <x v="27"/>
    <n v="8256.9166669999995"/>
    <s v="Media"/>
  </r>
  <r>
    <x v="6"/>
    <s v="Peru"/>
    <s v="Universidad La Modernidad"/>
    <x v="2"/>
    <x v="1"/>
    <s v="Ringo"/>
    <n v="82356"/>
    <n v="20"/>
    <x v="1"/>
    <x v="26"/>
    <n v="4117.8"/>
    <s v="Bajo"/>
  </r>
  <r>
    <x v="6"/>
    <s v="Peru"/>
    <s v="Unique, S.A."/>
    <x v="2"/>
    <x v="1"/>
    <s v="Ringo"/>
    <n v="156686"/>
    <n v="37"/>
    <x v="1"/>
    <x v="26"/>
    <n v="4234.7567570000001"/>
    <s v="Media"/>
  </r>
  <r>
    <x v="6"/>
    <s v="Peru"/>
    <s v="Electro Este"/>
    <x v="2"/>
    <x v="1"/>
    <s v="Ringo"/>
    <n v="66316"/>
    <n v="27"/>
    <x v="3"/>
    <x v="25"/>
    <n v="2456.1481480000002"/>
    <s v="Bajo"/>
  </r>
  <r>
    <x v="0"/>
    <s v="Peru"/>
    <s v="Maquillajes Unidos"/>
    <x v="1"/>
    <x v="1"/>
    <s v="Ringo"/>
    <n v="228162"/>
    <n v="38"/>
    <x v="4"/>
    <x v="28"/>
    <n v="6004.2631579999997"/>
    <s v="Alta"/>
  </r>
  <r>
    <x v="0"/>
    <s v="Peru"/>
    <s v="Maquillajes Unidos"/>
    <x v="1"/>
    <x v="1"/>
    <s v="Ringo"/>
    <n v="123163"/>
    <n v="18"/>
    <x v="4"/>
    <x v="26"/>
    <n v="6842.3888889999998"/>
    <s v="Media"/>
  </r>
  <r>
    <x v="0"/>
    <s v="Peru"/>
    <s v="HAUG S.A."/>
    <x v="2"/>
    <x v="0"/>
    <s v="Ringo"/>
    <n v="109319"/>
    <n v="36"/>
    <x v="2"/>
    <x v="27"/>
    <n v="3036.6388889999998"/>
    <s v="Media"/>
  </r>
  <r>
    <x v="0"/>
    <s v="Peru"/>
    <s v="RIMAC Corp"/>
    <x v="1"/>
    <x v="1"/>
    <s v="Ringo"/>
    <n v="90697"/>
    <n v="30"/>
    <x v="4"/>
    <x v="25"/>
    <n v="3023.2333330000001"/>
    <s v="Bajo"/>
  </r>
  <r>
    <x v="0"/>
    <s v="Peru"/>
    <s v="HAUG S.A."/>
    <x v="2"/>
    <x v="0"/>
    <s v="Ringo"/>
    <n v="126899"/>
    <n v="21"/>
    <x v="2"/>
    <x v="27"/>
    <n v="6042.8095240000002"/>
    <s v="Media"/>
  </r>
  <r>
    <x v="0"/>
    <s v="Peru"/>
    <s v="HAUG S.A."/>
    <x v="2"/>
    <x v="0"/>
    <s v="Ringo"/>
    <n v="190190"/>
    <n v="21"/>
    <x v="0"/>
    <x v="27"/>
    <n v="9056.6666669999995"/>
    <s v="Media"/>
  </r>
  <r>
    <x v="0"/>
    <s v="Peru"/>
    <s v="Sociedad de Mineria Nueva"/>
    <x v="3"/>
    <x v="0"/>
    <s v="John"/>
    <n v="249032"/>
    <n v="36"/>
    <x v="2"/>
    <x v="25"/>
    <n v="6917.5555560000003"/>
    <s v="Alta"/>
  </r>
  <r>
    <x v="7"/>
    <s v="Peru"/>
    <s v="RIMAC Corp"/>
    <x v="1"/>
    <x v="1"/>
    <s v="Ringo"/>
    <n v="128165"/>
    <n v="31"/>
    <x v="3"/>
    <x v="25"/>
    <n v="4134.3548389999996"/>
    <s v="Media"/>
  </r>
  <r>
    <x v="7"/>
    <s v="Peru"/>
    <s v="Nissan Maquinarias, S.A."/>
    <x v="2"/>
    <x v="0"/>
    <s v="Ringo"/>
    <n v="64326"/>
    <n v="30"/>
    <x v="0"/>
    <x v="27"/>
    <n v="2144.1999999999998"/>
    <s v="Bajo"/>
  </r>
  <r>
    <x v="7"/>
    <s v="Peru"/>
    <s v="RIMAC Corp"/>
    <x v="1"/>
    <x v="1"/>
    <s v="Ringo"/>
    <n v="125963"/>
    <n v="36"/>
    <x v="0"/>
    <x v="25"/>
    <n v="3498.9722219999999"/>
    <s v="Media"/>
  </r>
  <r>
    <x v="7"/>
    <s v="Peru"/>
    <s v="Maquillajes Unidos"/>
    <x v="1"/>
    <x v="1"/>
    <s v="Ringo"/>
    <n v="217326"/>
    <n v="15"/>
    <x v="0"/>
    <x v="28"/>
    <n v="14488.4"/>
    <s v="Alta"/>
  </r>
  <r>
    <x v="7"/>
    <s v="Peru"/>
    <s v="RIMAC Corp"/>
    <x v="1"/>
    <x v="1"/>
    <s v="Ringo"/>
    <n v="247619"/>
    <n v="35"/>
    <x v="1"/>
    <x v="25"/>
    <n v="7074.828571"/>
    <s v="Alta"/>
  </r>
  <r>
    <x v="7"/>
    <s v="Peru"/>
    <s v="HAUG S.A."/>
    <x v="2"/>
    <x v="0"/>
    <s v="Ringo"/>
    <n v="96045"/>
    <n v="15"/>
    <x v="0"/>
    <x v="27"/>
    <n v="6403"/>
    <s v="Bajo"/>
  </r>
  <r>
    <x v="7"/>
    <s v="Peru"/>
    <s v="HAUG S.A."/>
    <x v="2"/>
    <x v="0"/>
    <s v="Ringo"/>
    <n v="60605"/>
    <n v="16"/>
    <x v="2"/>
    <x v="27"/>
    <n v="3787.8125"/>
    <s v="Bajo"/>
  </r>
  <r>
    <x v="7"/>
    <s v="Peru"/>
    <s v="HAUG S.A."/>
    <x v="2"/>
    <x v="0"/>
    <s v="Ringo"/>
    <n v="247695"/>
    <n v="24"/>
    <x v="3"/>
    <x v="27"/>
    <n v="10320.625"/>
    <s v="Alta"/>
  </r>
  <r>
    <x v="1"/>
    <s v="Peru"/>
    <s v="HAUG S.A."/>
    <x v="2"/>
    <x v="0"/>
    <s v="Ringo"/>
    <n v="213165"/>
    <n v="39"/>
    <x v="0"/>
    <x v="27"/>
    <n v="5465.7692310000002"/>
    <s v="Alta"/>
  </r>
  <r>
    <x v="1"/>
    <s v="Peru"/>
    <s v="HAUG S.A."/>
    <x v="2"/>
    <x v="0"/>
    <s v="Ringo"/>
    <n v="175282"/>
    <n v="36"/>
    <x v="0"/>
    <x v="27"/>
    <n v="4868.9444439999997"/>
    <s v="Media"/>
  </r>
  <r>
    <x v="1"/>
    <s v="Peru"/>
    <s v="Almacenes Santa Clara, S.A."/>
    <x v="2"/>
    <x v="0"/>
    <s v="Ringo"/>
    <n v="207526"/>
    <n v="29"/>
    <x v="4"/>
    <x v="27"/>
    <n v="7156.0689659999998"/>
    <s v="Alta"/>
  </r>
  <r>
    <x v="1"/>
    <s v="Peru"/>
    <s v="Almacenes Santa Clara, S.A."/>
    <x v="2"/>
    <x v="0"/>
    <s v="Ringo"/>
    <n v="57043"/>
    <n v="18"/>
    <x v="0"/>
    <x v="27"/>
    <n v="3169.0555559999998"/>
    <s v="Bajo"/>
  </r>
  <r>
    <x v="1"/>
    <s v="Peru"/>
    <s v="Pacifico Peruano Suiza"/>
    <x v="5"/>
    <x v="1"/>
    <s v="Ringo"/>
    <n v="143396"/>
    <n v="34"/>
    <x v="4"/>
    <x v="25"/>
    <n v="4217.5294119999999"/>
    <s v="Media"/>
  </r>
  <r>
    <x v="2"/>
    <s v="Peru"/>
    <s v="Almacenes Santa Clara, S.A."/>
    <x v="2"/>
    <x v="0"/>
    <s v="Ringo"/>
    <n v="236237"/>
    <n v="20"/>
    <x v="0"/>
    <x v="27"/>
    <n v="11811.85"/>
    <s v="Alta"/>
  </r>
  <r>
    <x v="2"/>
    <s v="Peru"/>
    <s v="Maquillajes Unidos"/>
    <x v="1"/>
    <x v="1"/>
    <s v="Ringo"/>
    <n v="166285"/>
    <n v="29"/>
    <x v="0"/>
    <x v="26"/>
    <n v="5733.9655169999996"/>
    <s v="Media"/>
  </r>
  <r>
    <x v="2"/>
    <s v="Peru"/>
    <s v="Nissan Maquinarias, S.A."/>
    <x v="2"/>
    <x v="0"/>
    <s v="Ringo"/>
    <n v="235433"/>
    <n v="33"/>
    <x v="0"/>
    <x v="27"/>
    <n v="7134.3333329999996"/>
    <s v="Alta"/>
  </r>
  <r>
    <x v="2"/>
    <s v="Peru"/>
    <s v="Seguros Internos SAC"/>
    <x v="2"/>
    <x v="1"/>
    <s v="Ringo"/>
    <n v="244064"/>
    <n v="25"/>
    <x v="1"/>
    <x v="26"/>
    <n v="9762.56"/>
    <s v="Alta"/>
  </r>
  <r>
    <x v="3"/>
    <s v="Peru"/>
    <s v="Ajies Rellenos Inc."/>
    <x v="2"/>
    <x v="1"/>
    <s v="Ringo"/>
    <n v="53014"/>
    <n v="15"/>
    <x v="3"/>
    <x v="25"/>
    <n v="3534.2666669999999"/>
    <s v="Bajo"/>
  </r>
  <r>
    <x v="3"/>
    <s v="Peru"/>
    <s v="Nissan Maquinarias, S.A."/>
    <x v="2"/>
    <x v="0"/>
    <s v="Ringo"/>
    <n v="187059"/>
    <n v="28"/>
    <x v="0"/>
    <x v="27"/>
    <n v="6680.6785710000004"/>
    <s v="Media"/>
  </r>
  <r>
    <x v="4"/>
    <s v="Peru"/>
    <s v="Almacenes Santa Clara, S.A."/>
    <x v="2"/>
    <x v="0"/>
    <s v="Ringo"/>
    <n v="206167"/>
    <n v="40"/>
    <x v="0"/>
    <x v="27"/>
    <n v="5154.1750000000002"/>
    <s v="Alta"/>
  </r>
  <r>
    <x v="4"/>
    <s v="Peru"/>
    <s v="Pacifico Peruano Suiza"/>
    <x v="5"/>
    <x v="1"/>
    <s v="Ringo"/>
    <n v="248081"/>
    <n v="19"/>
    <x v="2"/>
    <x v="25"/>
    <n v="13056.89474"/>
    <s v="Alta"/>
  </r>
  <r>
    <x v="4"/>
    <s v="Peru"/>
    <s v="Maquillajes Unidos"/>
    <x v="1"/>
    <x v="1"/>
    <s v="Ringo"/>
    <n v="244877"/>
    <n v="22"/>
    <x v="3"/>
    <x v="26"/>
    <n v="11130.772730000001"/>
    <s v="Alta"/>
  </r>
  <r>
    <x v="4"/>
    <s v="Peru"/>
    <s v="RIMAC Corp"/>
    <x v="1"/>
    <x v="1"/>
    <s v="Ringo"/>
    <n v="99115"/>
    <n v="18"/>
    <x v="4"/>
    <x v="25"/>
    <n v="5506.3888889999998"/>
    <s v="Bajo"/>
  </r>
  <r>
    <x v="4"/>
    <s v="Peru"/>
    <s v="HAUG S.A."/>
    <x v="2"/>
    <x v="0"/>
    <s v="Ringo"/>
    <n v="80316"/>
    <n v="21"/>
    <x v="4"/>
    <x v="27"/>
    <n v="3824.5714290000001"/>
    <s v="Bajo"/>
  </r>
  <r>
    <x v="4"/>
    <s v="Peru"/>
    <s v="Nissan Maquinarias, S.A."/>
    <x v="2"/>
    <x v="0"/>
    <s v="Ringo"/>
    <n v="88338"/>
    <n v="16"/>
    <x v="4"/>
    <x v="27"/>
    <n v="5521.125"/>
    <s v="Bajo"/>
  </r>
  <r>
    <x v="5"/>
    <s v="Peru"/>
    <s v="Asociacion de Fondos de Pensiones"/>
    <x v="3"/>
    <x v="0"/>
    <s v="Paul"/>
    <n v="240940"/>
    <n v="37"/>
    <x v="0"/>
    <x v="29"/>
    <n v="6511.8918919999996"/>
    <s v="Alta"/>
  </r>
  <r>
    <x v="5"/>
    <s v="Peru"/>
    <s v="Synapsis del Peru"/>
    <x v="6"/>
    <x v="0"/>
    <s v="Paul"/>
    <n v="101844"/>
    <n v="39"/>
    <x v="2"/>
    <x v="29"/>
    <n v="2611.3846149999999"/>
    <s v="Media"/>
  </r>
  <r>
    <x v="5"/>
    <s v="Peru"/>
    <s v="Seguridad Integral Corp"/>
    <x v="6"/>
    <x v="0"/>
    <s v="Ringo"/>
    <n v="129301"/>
    <n v="38"/>
    <x v="2"/>
    <x v="29"/>
    <n v="3402.6578949999998"/>
    <s v="Media"/>
  </r>
  <r>
    <x v="5"/>
    <s v="Peru"/>
    <s v="MAESTRO PERU S.A."/>
    <x v="1"/>
    <x v="1"/>
    <s v="Ringo"/>
    <n v="118525"/>
    <n v="41"/>
    <x v="1"/>
    <x v="29"/>
    <n v="2890.8536589999999"/>
    <s v="Media"/>
  </r>
  <r>
    <x v="6"/>
    <s v="Peru"/>
    <s v="Buenaventura Ingenieros, S.A."/>
    <x v="1"/>
    <x v="1"/>
    <s v="Ringo"/>
    <n v="124304"/>
    <n v="26"/>
    <x v="0"/>
    <x v="29"/>
    <n v="4780.9230770000004"/>
    <s v="Media"/>
  </r>
  <r>
    <x v="6"/>
    <s v="Peru"/>
    <s v="Radios Unidos por el pais"/>
    <x v="2"/>
    <x v="0"/>
    <s v="George"/>
    <n v="59089"/>
    <n v="32"/>
    <x v="3"/>
    <x v="30"/>
    <n v="1846.53125"/>
    <s v="Bajo"/>
  </r>
  <r>
    <x v="6"/>
    <s v="Peru"/>
    <s v="Asociacion de Fondos de Pensiones"/>
    <x v="3"/>
    <x v="0"/>
    <s v="Paul"/>
    <n v="170555"/>
    <n v="26"/>
    <x v="0"/>
    <x v="29"/>
    <n v="6559.8076920000003"/>
    <s v="Media"/>
  </r>
  <r>
    <x v="6"/>
    <s v="Peru"/>
    <s v="Seguridad Integral Corp"/>
    <x v="6"/>
    <x v="0"/>
    <s v="Ringo"/>
    <n v="58257"/>
    <n v="24"/>
    <x v="0"/>
    <x v="29"/>
    <n v="2427.375"/>
    <s v="Bajo"/>
  </r>
  <r>
    <x v="6"/>
    <s v="Peru"/>
    <s v="Minera de Cobre Supremo"/>
    <x v="1"/>
    <x v="1"/>
    <s v="Ringo"/>
    <n v="58438"/>
    <n v="41"/>
    <x v="0"/>
    <x v="29"/>
    <n v="1425.3170729999999"/>
    <s v="Bajo"/>
  </r>
  <r>
    <x v="6"/>
    <s v="Peru"/>
    <s v="Minera de Cobre Supremo"/>
    <x v="1"/>
    <x v="1"/>
    <s v="Ringo"/>
    <n v="211461"/>
    <n v="33"/>
    <x v="0"/>
    <x v="29"/>
    <n v="6407.9090910000004"/>
    <s v="Alta"/>
  </r>
  <r>
    <x v="0"/>
    <s v="Peru"/>
    <s v="Asociacion de Fondos de Pensiones"/>
    <x v="3"/>
    <x v="0"/>
    <s v="Paul"/>
    <n v="196969"/>
    <n v="33"/>
    <x v="2"/>
    <x v="29"/>
    <n v="5968.757576"/>
    <s v="Media"/>
  </r>
  <r>
    <x v="0"/>
    <s v="Peru"/>
    <s v="Minera de Cobre Supremo"/>
    <x v="1"/>
    <x v="1"/>
    <s v="Ringo"/>
    <n v="169308"/>
    <n v="22"/>
    <x v="0"/>
    <x v="29"/>
    <n v="7695.818182"/>
    <s v="Media"/>
  </r>
  <r>
    <x v="0"/>
    <s v="Peru"/>
    <s v="Empresa Minera La Aventura"/>
    <x v="1"/>
    <x v="1"/>
    <s v="Ringo"/>
    <n v="135276"/>
    <n v="26"/>
    <x v="2"/>
    <x v="29"/>
    <n v="5202.9230770000004"/>
    <s v="Media"/>
  </r>
  <r>
    <x v="0"/>
    <s v="Peru"/>
    <s v="Empresa Minera La Aventura"/>
    <x v="1"/>
    <x v="1"/>
    <s v="Ringo"/>
    <n v="144362"/>
    <n v="24"/>
    <x v="0"/>
    <x v="29"/>
    <n v="6015.0833329999996"/>
    <s v="Media"/>
  </r>
  <r>
    <x v="0"/>
    <s v="Peru"/>
    <s v="Asociacion de Fondos de Pensiones"/>
    <x v="3"/>
    <x v="0"/>
    <s v="Paul"/>
    <n v="155833"/>
    <n v="22"/>
    <x v="0"/>
    <x v="29"/>
    <n v="7083.318182"/>
    <s v="Media"/>
  </r>
  <r>
    <x v="0"/>
    <s v="Peru"/>
    <s v="Synapsis del Peru"/>
    <x v="6"/>
    <x v="0"/>
    <s v="Paul"/>
    <n v="177276"/>
    <n v="26"/>
    <x v="4"/>
    <x v="29"/>
    <n v="6818.3076920000003"/>
    <s v="Media"/>
  </r>
  <r>
    <x v="0"/>
    <s v="Peru"/>
    <s v="Automotores Distribuidos"/>
    <x v="0"/>
    <x v="0"/>
    <s v="Ringo"/>
    <n v="86373"/>
    <n v="35"/>
    <x v="0"/>
    <x v="29"/>
    <n v="2467.8000000000002"/>
    <s v="Bajo"/>
  </r>
  <r>
    <x v="0"/>
    <s v="Peru"/>
    <s v="Minera de Cobre Supremo"/>
    <x v="1"/>
    <x v="1"/>
    <s v="Ringo"/>
    <n v="197645"/>
    <n v="21"/>
    <x v="4"/>
    <x v="29"/>
    <n v="9411.6666669999995"/>
    <s v="Media"/>
  </r>
  <r>
    <x v="0"/>
    <s v="Peru"/>
    <s v="Empresa Minera La Aventura"/>
    <x v="1"/>
    <x v="1"/>
    <s v="Ringo"/>
    <n v="146128"/>
    <n v="19"/>
    <x v="2"/>
    <x v="29"/>
    <n v="7690.9473680000001"/>
    <s v="Media"/>
  </r>
  <r>
    <x v="7"/>
    <s v="Peru"/>
    <s v="Buenaventura Ingenieros, S.A."/>
    <x v="1"/>
    <x v="1"/>
    <s v="Ringo"/>
    <n v="231733"/>
    <n v="30"/>
    <x v="2"/>
    <x v="29"/>
    <n v="7724.4333329999999"/>
    <s v="Alta"/>
  </r>
  <r>
    <x v="7"/>
    <s v="Peru"/>
    <s v="Asociacion de Fondos de Pensiones"/>
    <x v="3"/>
    <x v="0"/>
    <s v="Paul"/>
    <n v="72186"/>
    <n v="28"/>
    <x v="0"/>
    <x v="29"/>
    <n v="2578.0714290000001"/>
    <s v="Bajo"/>
  </r>
  <r>
    <x v="7"/>
    <s v="Peru"/>
    <s v="Seguridad Integral Corp"/>
    <x v="6"/>
    <x v="0"/>
    <s v="Ringo"/>
    <n v="217989"/>
    <n v="17"/>
    <x v="0"/>
    <x v="29"/>
    <n v="12822.88235"/>
    <s v="Alta"/>
  </r>
  <r>
    <x v="7"/>
    <s v="Peru"/>
    <s v="Automotores Distribuidos"/>
    <x v="0"/>
    <x v="0"/>
    <s v="Ringo"/>
    <n v="153172"/>
    <n v="29"/>
    <x v="4"/>
    <x v="29"/>
    <n v="5281.793103"/>
    <s v="Media"/>
  </r>
  <r>
    <x v="7"/>
    <s v="Peru"/>
    <s v="Automotores Distribuidos"/>
    <x v="0"/>
    <x v="0"/>
    <s v="Ringo"/>
    <n v="107859"/>
    <n v="17"/>
    <x v="4"/>
    <x v="29"/>
    <n v="6344.6470589999999"/>
    <s v="Media"/>
  </r>
  <r>
    <x v="7"/>
    <s v="Peru"/>
    <s v="Minera de Cobre Supremo"/>
    <x v="1"/>
    <x v="1"/>
    <s v="Ringo"/>
    <n v="54920"/>
    <n v="15"/>
    <x v="0"/>
    <x v="29"/>
    <n v="3661.333333"/>
    <s v="Bajo"/>
  </r>
  <r>
    <x v="7"/>
    <s v="Peru"/>
    <s v="Minera Aventurera"/>
    <x v="1"/>
    <x v="1"/>
    <s v="Ringo"/>
    <n v="148265"/>
    <n v="25"/>
    <x v="0"/>
    <x v="29"/>
    <n v="5930.6"/>
    <s v="Media"/>
  </r>
  <r>
    <x v="7"/>
    <s v="Peru"/>
    <s v="Asociacion de Fondos de Pensiones"/>
    <x v="3"/>
    <x v="0"/>
    <s v="Paul"/>
    <n v="61431"/>
    <n v="34"/>
    <x v="0"/>
    <x v="29"/>
    <n v="1806.794118"/>
    <s v="Bajo"/>
  </r>
  <r>
    <x v="7"/>
    <s v="Peru"/>
    <s v="Asociacion de Fondos de Pensiones"/>
    <x v="3"/>
    <x v="0"/>
    <s v="Paul"/>
    <n v="148488"/>
    <n v="20"/>
    <x v="0"/>
    <x v="29"/>
    <n v="7424.4"/>
    <s v="Media"/>
  </r>
  <r>
    <x v="7"/>
    <s v="Peru"/>
    <s v="Banco Interno"/>
    <x v="5"/>
    <x v="1"/>
    <s v="Ringo"/>
    <n v="50104"/>
    <n v="26"/>
    <x v="1"/>
    <x v="31"/>
    <n v="1927.0769230000001"/>
    <s v="Bajo"/>
  </r>
  <r>
    <x v="7"/>
    <s v="Peru"/>
    <s v="Synapsis del Peru"/>
    <x v="6"/>
    <x v="0"/>
    <s v="Paul"/>
    <n v="126817"/>
    <n v="41"/>
    <x v="2"/>
    <x v="29"/>
    <n v="3093.097561"/>
    <s v="Media"/>
  </r>
  <r>
    <x v="7"/>
    <s v="Peru"/>
    <s v="Seguridad Integral Corp"/>
    <x v="6"/>
    <x v="0"/>
    <s v="Ringo"/>
    <n v="130686"/>
    <n v="16"/>
    <x v="2"/>
    <x v="29"/>
    <n v="8167.875"/>
    <s v="Media"/>
  </r>
  <r>
    <x v="7"/>
    <s v="Peru"/>
    <s v="Automotores Distribuidos"/>
    <x v="0"/>
    <x v="0"/>
    <s v="Ringo"/>
    <n v="142419"/>
    <n v="22"/>
    <x v="0"/>
    <x v="29"/>
    <n v="6473.5909089999996"/>
    <s v="Media"/>
  </r>
  <r>
    <x v="7"/>
    <s v="Peru"/>
    <s v="Synapsis del Peru"/>
    <x v="6"/>
    <x v="0"/>
    <s v="Paul"/>
    <n v="163063"/>
    <n v="21"/>
    <x v="0"/>
    <x v="29"/>
    <n v="7764.9047620000001"/>
    <s v="Media"/>
  </r>
  <r>
    <x v="7"/>
    <s v="Peru"/>
    <s v="Minera de Cobre Supremo"/>
    <x v="1"/>
    <x v="1"/>
    <s v="Ringo"/>
    <n v="118770"/>
    <n v="37"/>
    <x v="0"/>
    <x v="29"/>
    <n v="3210"/>
    <s v="Media"/>
  </r>
  <r>
    <x v="7"/>
    <s v="Peru"/>
    <s v="Minera de Cobre Supremo"/>
    <x v="1"/>
    <x v="1"/>
    <s v="Ringo"/>
    <n v="79923"/>
    <n v="18"/>
    <x v="3"/>
    <x v="29"/>
    <n v="4440.1666670000004"/>
    <s v="Bajo"/>
  </r>
  <r>
    <x v="7"/>
    <s v="Peru"/>
    <s v="Minera de Cobre Supremo"/>
    <x v="1"/>
    <x v="1"/>
    <s v="Ringo"/>
    <n v="92676"/>
    <n v="39"/>
    <x v="0"/>
    <x v="29"/>
    <n v="2376.3076919999999"/>
    <s v="Bajo"/>
  </r>
  <r>
    <x v="7"/>
    <s v="Peru"/>
    <s v="Minera de Cobre Supremo"/>
    <x v="1"/>
    <x v="1"/>
    <s v="Ringo"/>
    <n v="198026"/>
    <n v="37"/>
    <x v="2"/>
    <x v="29"/>
    <n v="5352.0540540000002"/>
    <s v="Media"/>
  </r>
  <r>
    <x v="7"/>
    <s v="Peru"/>
    <s v="Fabrica de Software"/>
    <x v="0"/>
    <x v="0"/>
    <s v="John"/>
    <n v="205697"/>
    <n v="15"/>
    <x v="2"/>
    <x v="32"/>
    <n v="13713.133330000001"/>
    <s v="Alta"/>
  </r>
  <r>
    <x v="7"/>
    <s v="Peru"/>
    <s v="Buenaventura Ingenieros, S.A."/>
    <x v="1"/>
    <x v="1"/>
    <s v="Ringo"/>
    <n v="156059"/>
    <n v="39"/>
    <x v="2"/>
    <x v="29"/>
    <n v="4001.5128209999998"/>
    <s v="Media"/>
  </r>
  <r>
    <x v="7"/>
    <s v="Peru"/>
    <s v="Seguridad Integral Corp"/>
    <x v="6"/>
    <x v="0"/>
    <s v="Ringo"/>
    <n v="235504"/>
    <n v="37"/>
    <x v="0"/>
    <x v="29"/>
    <n v="6364.9729729999999"/>
    <s v="Alta"/>
  </r>
  <r>
    <x v="7"/>
    <s v="Peru"/>
    <s v="Seguridad Integral Corp"/>
    <x v="6"/>
    <x v="0"/>
    <s v="Ringo"/>
    <n v="178682"/>
    <n v="37"/>
    <x v="0"/>
    <x v="29"/>
    <n v="4829.2432429999999"/>
    <s v="Media"/>
  </r>
  <r>
    <x v="7"/>
    <s v="Peru"/>
    <s v="Automotores Distribuidos"/>
    <x v="0"/>
    <x v="0"/>
    <s v="Ringo"/>
    <n v="104201"/>
    <n v="41"/>
    <x v="0"/>
    <x v="29"/>
    <n v="2541.4878050000002"/>
    <s v="Media"/>
  </r>
  <r>
    <x v="7"/>
    <s v="Peru"/>
    <s v="Automotores Distribuidos"/>
    <x v="0"/>
    <x v="0"/>
    <s v="Ringo"/>
    <n v="182312"/>
    <n v="36"/>
    <x v="2"/>
    <x v="29"/>
    <n v="5064.2222220000003"/>
    <s v="Media"/>
  </r>
  <r>
    <x v="7"/>
    <s v="Peru"/>
    <s v="Minera de Cobre Supremo"/>
    <x v="1"/>
    <x v="1"/>
    <s v="Ringo"/>
    <n v="70148"/>
    <n v="27"/>
    <x v="3"/>
    <x v="29"/>
    <n v="2598.0740740000001"/>
    <s v="Bajo"/>
  </r>
  <r>
    <x v="7"/>
    <s v="Peru"/>
    <s v="Minera Aventurera"/>
    <x v="1"/>
    <x v="1"/>
    <s v="Ringo"/>
    <n v="198848"/>
    <n v="17"/>
    <x v="0"/>
    <x v="29"/>
    <n v="11696.94118"/>
    <s v="Media"/>
  </r>
  <r>
    <x v="7"/>
    <s v="Peru"/>
    <s v="Minera Aventurera"/>
    <x v="1"/>
    <x v="1"/>
    <s v="Ringo"/>
    <n v="97839"/>
    <n v="33"/>
    <x v="0"/>
    <x v="29"/>
    <n v="2964.818182"/>
    <s v="Bajo"/>
  </r>
  <r>
    <x v="7"/>
    <s v="Peru"/>
    <s v="Buenaventura Ingenieros, S.A."/>
    <x v="1"/>
    <x v="1"/>
    <s v="Ringo"/>
    <n v="216170"/>
    <n v="41"/>
    <x v="2"/>
    <x v="29"/>
    <n v="5272.4390240000002"/>
    <s v="Alta"/>
  </r>
  <r>
    <x v="7"/>
    <s v="Peru"/>
    <s v="Asociacion de Fondos de Pensiones"/>
    <x v="3"/>
    <x v="0"/>
    <s v="Paul"/>
    <n v="108246"/>
    <n v="30"/>
    <x v="2"/>
    <x v="29"/>
    <n v="3608.2"/>
    <s v="Media"/>
  </r>
  <r>
    <x v="7"/>
    <s v="Peru"/>
    <s v="Synapsis del Peru"/>
    <x v="6"/>
    <x v="0"/>
    <s v="Paul"/>
    <n v="231674"/>
    <n v="21"/>
    <x v="0"/>
    <x v="29"/>
    <n v="11032.095240000001"/>
    <s v="Alta"/>
  </r>
  <r>
    <x v="7"/>
    <s v="Peru"/>
    <s v="Seguridad Integral Corp"/>
    <x v="6"/>
    <x v="0"/>
    <s v="Ringo"/>
    <n v="122061"/>
    <n v="24"/>
    <x v="4"/>
    <x v="29"/>
    <n v="5085.875"/>
    <s v="Media"/>
  </r>
  <r>
    <x v="7"/>
    <s v="Peru"/>
    <s v="Asociacion de Fondos de Pensiones"/>
    <x v="3"/>
    <x v="0"/>
    <s v="Paul"/>
    <n v="149238"/>
    <n v="40"/>
    <x v="2"/>
    <x v="29"/>
    <n v="3730.95"/>
    <s v="Media"/>
  </r>
  <r>
    <x v="7"/>
    <s v="Peru"/>
    <s v="Asociacion de Fondos de Pensiones"/>
    <x v="3"/>
    <x v="0"/>
    <s v="Paul"/>
    <n v="61706"/>
    <n v="18"/>
    <x v="0"/>
    <x v="29"/>
    <n v="3428.1111110000002"/>
    <s v="Bajo"/>
  </r>
  <r>
    <x v="7"/>
    <s v="Peru"/>
    <s v="Synapsis del Peru"/>
    <x v="6"/>
    <x v="0"/>
    <s v="Paul"/>
    <n v="158075"/>
    <n v="17"/>
    <x v="0"/>
    <x v="29"/>
    <n v="9298.5294119999999"/>
    <s v="Media"/>
  </r>
  <r>
    <x v="7"/>
    <s v="Peru"/>
    <s v="Synapsis del Peru"/>
    <x v="6"/>
    <x v="0"/>
    <s v="Paul"/>
    <n v="187416"/>
    <n v="32"/>
    <x v="0"/>
    <x v="29"/>
    <n v="5856.75"/>
    <s v="Media"/>
  </r>
  <r>
    <x v="7"/>
    <s v="Peru"/>
    <s v="Automotores Distribuidos"/>
    <x v="0"/>
    <x v="0"/>
    <s v="Ringo"/>
    <n v="156090"/>
    <n v="23"/>
    <x v="0"/>
    <x v="29"/>
    <n v="6786.5217389999998"/>
    <s v="Media"/>
  </r>
  <r>
    <x v="7"/>
    <s v="Peru"/>
    <s v="Buenaventura Ingenieros, S.A."/>
    <x v="1"/>
    <x v="1"/>
    <s v="Ringo"/>
    <n v="134468"/>
    <n v="35"/>
    <x v="0"/>
    <x v="29"/>
    <n v="3841.942857"/>
    <s v="Media"/>
  </r>
  <r>
    <x v="7"/>
    <s v="Peru"/>
    <s v="Buenaventura Ingenieros, S.A."/>
    <x v="1"/>
    <x v="1"/>
    <s v="Ringo"/>
    <n v="186335"/>
    <n v="16"/>
    <x v="2"/>
    <x v="29"/>
    <n v="11645.9375"/>
    <s v="Media"/>
  </r>
  <r>
    <x v="7"/>
    <s v="Peru"/>
    <s v="Asociacion de Fondos de Pensiones"/>
    <x v="3"/>
    <x v="0"/>
    <s v="Paul"/>
    <n v="54228"/>
    <n v="37"/>
    <x v="3"/>
    <x v="29"/>
    <n v="1465.6216219999999"/>
    <s v="Bajo"/>
  </r>
  <r>
    <x v="7"/>
    <s v="Peru"/>
    <s v="Seguridad Integral Corp"/>
    <x v="6"/>
    <x v="0"/>
    <s v="Ringo"/>
    <n v="166714"/>
    <n v="24"/>
    <x v="0"/>
    <x v="29"/>
    <n v="6946.4166670000004"/>
    <s v="Media"/>
  </r>
  <r>
    <x v="1"/>
    <s v="Peru"/>
    <s v="Minera de Cobre Supremo"/>
    <x v="1"/>
    <x v="1"/>
    <s v="Ringo"/>
    <n v="234301"/>
    <n v="19"/>
    <x v="0"/>
    <x v="29"/>
    <n v="12331.631579999999"/>
    <s v="Alta"/>
  </r>
  <r>
    <x v="1"/>
    <s v="Peru"/>
    <s v="Minera de Cobre Supremo"/>
    <x v="1"/>
    <x v="1"/>
    <s v="Ringo"/>
    <n v="52351"/>
    <n v="30"/>
    <x v="2"/>
    <x v="29"/>
    <n v="1745.0333330000001"/>
    <s v="Bajo"/>
  </r>
  <r>
    <x v="1"/>
    <s v="Peru"/>
    <s v="Minera Aventurera"/>
    <x v="1"/>
    <x v="1"/>
    <s v="Ringo"/>
    <n v="227701"/>
    <n v="37"/>
    <x v="4"/>
    <x v="29"/>
    <n v="6154.0810810000003"/>
    <s v="Alta"/>
  </r>
  <r>
    <x v="1"/>
    <s v="Peru"/>
    <s v="Buenaventura Ingenieros, S.A."/>
    <x v="1"/>
    <x v="1"/>
    <s v="Ringo"/>
    <n v="213418"/>
    <n v="30"/>
    <x v="2"/>
    <x v="29"/>
    <n v="7113.9333329999999"/>
    <s v="Alta"/>
  </r>
  <r>
    <x v="1"/>
    <s v="Peru"/>
    <s v="Asociacion de Fondos de Pensiones"/>
    <x v="3"/>
    <x v="0"/>
    <s v="Paul"/>
    <n v="195357"/>
    <n v="30"/>
    <x v="2"/>
    <x v="29"/>
    <n v="6511.9"/>
    <s v="Media"/>
  </r>
  <r>
    <x v="1"/>
    <s v="Peru"/>
    <s v="Asociacion de Fondos de Pensiones"/>
    <x v="3"/>
    <x v="0"/>
    <s v="Paul"/>
    <n v="180157"/>
    <n v="40"/>
    <x v="0"/>
    <x v="29"/>
    <n v="4503.9250000000002"/>
    <s v="Media"/>
  </r>
  <r>
    <x v="1"/>
    <s v="Peru"/>
    <s v="Minera de Cobre Supremo"/>
    <x v="1"/>
    <x v="1"/>
    <s v="Ringo"/>
    <n v="83073"/>
    <n v="28"/>
    <x v="2"/>
    <x v="29"/>
    <n v="2966.8928569999998"/>
    <s v="Bajo"/>
  </r>
  <r>
    <x v="1"/>
    <s v="Peru"/>
    <s v="Grandes Montañas"/>
    <x v="1"/>
    <x v="1"/>
    <s v="Ringo"/>
    <n v="183188"/>
    <n v="23"/>
    <x v="1"/>
    <x v="31"/>
    <n v="7964.6956520000003"/>
    <s v="Media"/>
  </r>
  <r>
    <x v="1"/>
    <s v="Peru"/>
    <s v="Asociacion de Fondos de Pensiones"/>
    <x v="3"/>
    <x v="0"/>
    <s v="Paul"/>
    <n v="137884"/>
    <n v="29"/>
    <x v="0"/>
    <x v="29"/>
    <n v="4754.6206899999997"/>
    <s v="Media"/>
  </r>
  <r>
    <x v="1"/>
    <s v="Peru"/>
    <s v="Automotores Distribuidos"/>
    <x v="0"/>
    <x v="0"/>
    <s v="Ringo"/>
    <n v="141610"/>
    <n v="15"/>
    <x v="0"/>
    <x v="29"/>
    <n v="9440.6666669999995"/>
    <s v="Media"/>
  </r>
  <r>
    <x v="1"/>
    <s v="Peru"/>
    <s v="Minera de Cobre Supremo"/>
    <x v="1"/>
    <x v="1"/>
    <s v="Ringo"/>
    <n v="123546"/>
    <n v="41"/>
    <x v="2"/>
    <x v="29"/>
    <n v="3013.3170730000002"/>
    <s v="Media"/>
  </r>
  <r>
    <x v="1"/>
    <s v="Peru"/>
    <s v="Minera Aventurera"/>
    <x v="1"/>
    <x v="1"/>
    <s v="Ringo"/>
    <n v="68964"/>
    <n v="18"/>
    <x v="2"/>
    <x v="29"/>
    <n v="3831.333333"/>
    <s v="Bajo"/>
  </r>
  <r>
    <x v="1"/>
    <s v="Peru"/>
    <s v="Buenaventura Ingenieros, S.A."/>
    <x v="1"/>
    <x v="1"/>
    <s v="Ringo"/>
    <n v="183631"/>
    <n v="16"/>
    <x v="0"/>
    <x v="29"/>
    <n v="11476.9375"/>
    <s v="Media"/>
  </r>
  <r>
    <x v="1"/>
    <s v="Peru"/>
    <s v="Synapsis del Peru"/>
    <x v="6"/>
    <x v="0"/>
    <s v="Paul"/>
    <n v="163096"/>
    <n v="30"/>
    <x v="2"/>
    <x v="29"/>
    <n v="5436.5333330000003"/>
    <s v="Media"/>
  </r>
  <r>
    <x v="1"/>
    <s v="Peru"/>
    <s v="Seguridad Integral Corp"/>
    <x v="6"/>
    <x v="0"/>
    <s v="Ringo"/>
    <n v="89022"/>
    <n v="38"/>
    <x v="0"/>
    <x v="29"/>
    <n v="2342.6842109999998"/>
    <s v="Bajo"/>
  </r>
  <r>
    <x v="1"/>
    <s v="Peru"/>
    <s v="Minera de Cobre Supremo"/>
    <x v="1"/>
    <x v="1"/>
    <s v="Ringo"/>
    <n v="249750"/>
    <n v="41"/>
    <x v="2"/>
    <x v="29"/>
    <n v="6091.4634150000002"/>
    <s v="Alta"/>
  </r>
  <r>
    <x v="1"/>
    <s v="Peru"/>
    <s v="Minera Aventurera"/>
    <x v="1"/>
    <x v="1"/>
    <s v="Ringo"/>
    <n v="87679"/>
    <n v="18"/>
    <x v="2"/>
    <x v="29"/>
    <n v="4871.0555560000003"/>
    <s v="Bajo"/>
  </r>
  <r>
    <x v="1"/>
    <s v="Peru"/>
    <s v="Seguridad Integral Corp"/>
    <x v="6"/>
    <x v="0"/>
    <s v="Ringo"/>
    <n v="154630"/>
    <n v="41"/>
    <x v="0"/>
    <x v="29"/>
    <n v="3771.4634150000002"/>
    <s v="Media"/>
  </r>
  <r>
    <x v="1"/>
    <s v="Peru"/>
    <s v="Asociacion de Fondos de Pensiones"/>
    <x v="3"/>
    <x v="0"/>
    <s v="Paul"/>
    <n v="152322"/>
    <n v="16"/>
    <x v="4"/>
    <x v="29"/>
    <n v="9520.125"/>
    <s v="Media"/>
  </r>
  <r>
    <x v="1"/>
    <s v="Peru"/>
    <s v="Minera de Cobre Supremo"/>
    <x v="1"/>
    <x v="1"/>
    <s v="Ringo"/>
    <n v="96346"/>
    <n v="34"/>
    <x v="2"/>
    <x v="29"/>
    <n v="2833.7058820000002"/>
    <s v="Bajo"/>
  </r>
  <r>
    <x v="1"/>
    <s v="Peru"/>
    <s v="Buenaventura Ingenieros, S.A."/>
    <x v="1"/>
    <x v="1"/>
    <s v="Ringo"/>
    <n v="73926"/>
    <n v="40"/>
    <x v="0"/>
    <x v="29"/>
    <n v="1848.15"/>
    <s v="Bajo"/>
  </r>
  <r>
    <x v="1"/>
    <s v="Peru"/>
    <s v="Buenaventura Ingenieros, S.A."/>
    <x v="1"/>
    <x v="1"/>
    <s v="Ringo"/>
    <n v="94709"/>
    <n v="26"/>
    <x v="3"/>
    <x v="29"/>
    <n v="3642.6538460000002"/>
    <s v="Bajo"/>
  </r>
  <r>
    <x v="1"/>
    <s v="Peru"/>
    <s v="Asociacion de Fondos de Pensiones"/>
    <x v="3"/>
    <x v="0"/>
    <s v="Paul"/>
    <n v="141717"/>
    <n v="15"/>
    <x v="2"/>
    <x v="29"/>
    <n v="9447.7999999999993"/>
    <s v="Media"/>
  </r>
  <r>
    <x v="1"/>
    <s v="Peru"/>
    <s v="Seguridad Integral Corp"/>
    <x v="6"/>
    <x v="0"/>
    <s v="Ringo"/>
    <n v="64719"/>
    <n v="31"/>
    <x v="0"/>
    <x v="29"/>
    <n v="2087.7096769999998"/>
    <s v="Bajo"/>
  </r>
  <r>
    <x v="1"/>
    <s v="Peru"/>
    <s v="Seguridad Integral Corp"/>
    <x v="6"/>
    <x v="0"/>
    <s v="Ringo"/>
    <n v="70601"/>
    <n v="42"/>
    <x v="4"/>
    <x v="29"/>
    <n v="1680.9761900000001"/>
    <s v="Bajo"/>
  </r>
  <r>
    <x v="1"/>
    <s v="Peru"/>
    <s v="SCOTIABANK PERU"/>
    <x v="1"/>
    <x v="1"/>
    <s v="Ringo"/>
    <n v="172731"/>
    <n v="20"/>
    <x v="1"/>
    <x v="31"/>
    <n v="8636.5499999999993"/>
    <s v="Media"/>
  </r>
  <r>
    <x v="2"/>
    <s v="Peru"/>
    <s v="Buenaventura Ingenieros, S.A."/>
    <x v="1"/>
    <x v="1"/>
    <s v="Ringo"/>
    <n v="158478"/>
    <n v="32"/>
    <x v="0"/>
    <x v="29"/>
    <n v="4952.4375"/>
    <s v="Media"/>
  </r>
  <r>
    <x v="2"/>
    <s v="Peru"/>
    <s v="Asociacion de Fondos de Pensiones"/>
    <x v="3"/>
    <x v="0"/>
    <s v="Paul"/>
    <n v="188219"/>
    <n v="42"/>
    <x v="2"/>
    <x v="29"/>
    <n v="4481.4047620000001"/>
    <s v="Media"/>
  </r>
  <r>
    <x v="2"/>
    <s v="Peru"/>
    <s v="Automotores Distribuidos"/>
    <x v="0"/>
    <x v="0"/>
    <s v="Ringo"/>
    <n v="98533"/>
    <n v="39"/>
    <x v="2"/>
    <x v="29"/>
    <n v="2526.4871790000002"/>
    <s v="Bajo"/>
  </r>
  <r>
    <x v="2"/>
    <s v="Peru"/>
    <s v="Minera de Cobre Supremo"/>
    <x v="1"/>
    <x v="1"/>
    <s v="Ringo"/>
    <n v="230646"/>
    <n v="31"/>
    <x v="0"/>
    <x v="29"/>
    <n v="7440.1935480000002"/>
    <s v="Alta"/>
  </r>
  <r>
    <x v="2"/>
    <s v="Peru"/>
    <s v="Minera Aventurera"/>
    <x v="1"/>
    <x v="1"/>
    <s v="Ringo"/>
    <n v="78654"/>
    <n v="31"/>
    <x v="2"/>
    <x v="29"/>
    <n v="2537.2258059999999"/>
    <s v="Bajo"/>
  </r>
  <r>
    <x v="2"/>
    <s v="Peru"/>
    <s v="Buenaventura Ingenieros, S.A."/>
    <x v="1"/>
    <x v="1"/>
    <s v="Ringo"/>
    <n v="117451"/>
    <n v="38"/>
    <x v="0"/>
    <x v="29"/>
    <n v="3090.8157890000002"/>
    <s v="Media"/>
  </r>
  <r>
    <x v="2"/>
    <s v="Peru"/>
    <s v="Asociacion de Fondos de Pensiones"/>
    <x v="3"/>
    <x v="0"/>
    <s v="Paul"/>
    <n v="204922"/>
    <n v="15"/>
    <x v="2"/>
    <x v="29"/>
    <n v="13661.46667"/>
    <s v="Alta"/>
  </r>
  <r>
    <x v="2"/>
    <s v="Peru"/>
    <s v="Automotores Distribuidos"/>
    <x v="0"/>
    <x v="0"/>
    <s v="Ringo"/>
    <n v="53585"/>
    <n v="17"/>
    <x v="0"/>
    <x v="29"/>
    <n v="3152.0588240000002"/>
    <s v="Bajo"/>
  </r>
  <r>
    <x v="2"/>
    <s v="Peru"/>
    <s v="Seguridad Integral Corp"/>
    <x v="6"/>
    <x v="0"/>
    <s v="Ringo"/>
    <n v="78911"/>
    <n v="36"/>
    <x v="4"/>
    <x v="29"/>
    <n v="2191.9722219999999"/>
    <s v="Bajo"/>
  </r>
  <r>
    <x v="2"/>
    <s v="Peru"/>
    <s v="Synapsis del Peru"/>
    <x v="6"/>
    <x v="0"/>
    <s v="Paul"/>
    <n v="172360"/>
    <n v="32"/>
    <x v="2"/>
    <x v="29"/>
    <n v="5386.25"/>
    <s v="Media"/>
  </r>
  <r>
    <x v="2"/>
    <s v="Peru"/>
    <s v="Minera de Cobre Supremo"/>
    <x v="1"/>
    <x v="1"/>
    <s v="Ringo"/>
    <n v="55872"/>
    <n v="24"/>
    <x v="0"/>
    <x v="29"/>
    <n v="2328"/>
    <s v="Bajo"/>
  </r>
  <r>
    <x v="2"/>
    <s v="Peru"/>
    <s v="Minera Aventurera"/>
    <x v="1"/>
    <x v="1"/>
    <s v="Ringo"/>
    <n v="90516"/>
    <n v="30"/>
    <x v="3"/>
    <x v="29"/>
    <n v="3017.2"/>
    <s v="Bajo"/>
  </r>
  <r>
    <x v="2"/>
    <s v="Peru"/>
    <s v="Minera Aventurera"/>
    <x v="1"/>
    <x v="1"/>
    <s v="Ringo"/>
    <n v="170452"/>
    <n v="30"/>
    <x v="0"/>
    <x v="29"/>
    <n v="5681.7333330000001"/>
    <s v="Media"/>
  </r>
  <r>
    <x v="2"/>
    <s v="Peru"/>
    <s v="Minera Aventurera"/>
    <x v="1"/>
    <x v="1"/>
    <s v="Ringo"/>
    <n v="194532"/>
    <n v="30"/>
    <x v="2"/>
    <x v="29"/>
    <n v="6484.4"/>
    <s v="Media"/>
  </r>
  <r>
    <x v="3"/>
    <s v="Peru"/>
    <s v="Buenaventura Ingenieros, S.A."/>
    <x v="1"/>
    <x v="1"/>
    <s v="Ringo"/>
    <n v="105052"/>
    <n v="21"/>
    <x v="4"/>
    <x v="29"/>
    <n v="5002.4761900000003"/>
    <s v="Media"/>
  </r>
  <r>
    <x v="3"/>
    <s v="Peru"/>
    <s v="Asociacion de Fondos de Pensiones"/>
    <x v="3"/>
    <x v="0"/>
    <s v="Paul"/>
    <n v="164900"/>
    <n v="38"/>
    <x v="0"/>
    <x v="29"/>
    <n v="4339.4736839999996"/>
    <s v="Media"/>
  </r>
  <r>
    <x v="3"/>
    <s v="Peru"/>
    <s v="Synapsis del Peru"/>
    <x v="6"/>
    <x v="0"/>
    <s v="Paul"/>
    <n v="92653"/>
    <n v="41"/>
    <x v="0"/>
    <x v="29"/>
    <n v="2259.829268"/>
    <s v="Bajo"/>
  </r>
  <r>
    <x v="3"/>
    <s v="Peru"/>
    <s v="Minera de Cobre Supremo"/>
    <x v="1"/>
    <x v="1"/>
    <s v="Ringo"/>
    <n v="128070"/>
    <n v="31"/>
    <x v="2"/>
    <x v="29"/>
    <n v="4131.2903230000002"/>
    <s v="Media"/>
  </r>
  <r>
    <x v="3"/>
    <s v="Peru"/>
    <s v="Minera de Cobre Supremo"/>
    <x v="1"/>
    <x v="1"/>
    <s v="Ringo"/>
    <n v="102814"/>
    <n v="27"/>
    <x v="0"/>
    <x v="29"/>
    <n v="3807.9259259999999"/>
    <s v="Media"/>
  </r>
  <r>
    <x v="3"/>
    <s v="Peru"/>
    <s v="Buenaventura Ingenieros, S.A."/>
    <x v="1"/>
    <x v="1"/>
    <s v="Ringo"/>
    <n v="137688"/>
    <n v="34"/>
    <x v="0"/>
    <x v="29"/>
    <n v="4049.6470589999999"/>
    <s v="Media"/>
  </r>
  <r>
    <x v="3"/>
    <s v="Peru"/>
    <s v="Ferrocarriles Centrales"/>
    <x v="1"/>
    <x v="1"/>
    <s v="John"/>
    <n v="94685"/>
    <n v="41"/>
    <x v="4"/>
    <x v="33"/>
    <n v="2309.3902440000002"/>
    <s v="Bajo"/>
  </r>
  <r>
    <x v="3"/>
    <s v="Peru"/>
    <s v="Asociacion de Fondos de Pensiones"/>
    <x v="3"/>
    <x v="0"/>
    <s v="Paul"/>
    <n v="172920"/>
    <n v="30"/>
    <x v="0"/>
    <x v="29"/>
    <n v="5764"/>
    <s v="Media"/>
  </r>
  <r>
    <x v="3"/>
    <s v="Peru"/>
    <s v="Synapsis del Peru"/>
    <x v="6"/>
    <x v="0"/>
    <s v="Paul"/>
    <n v="190270"/>
    <n v="30"/>
    <x v="0"/>
    <x v="29"/>
    <n v="6342.3333329999996"/>
    <s v="Media"/>
  </r>
  <r>
    <x v="3"/>
    <s v="Peru"/>
    <s v="Minera de Cobre Supremo"/>
    <x v="1"/>
    <x v="1"/>
    <s v="Ringo"/>
    <n v="242009"/>
    <n v="31"/>
    <x v="0"/>
    <x v="29"/>
    <n v="7806.741935"/>
    <s v="Alta"/>
  </r>
  <r>
    <x v="3"/>
    <s v="Peru"/>
    <s v="Minera de Cobre Supremo"/>
    <x v="1"/>
    <x v="1"/>
    <s v="Ringo"/>
    <n v="146427"/>
    <n v="25"/>
    <x v="2"/>
    <x v="29"/>
    <n v="5857.08"/>
    <s v="Media"/>
  </r>
  <r>
    <x v="3"/>
    <s v="Peru"/>
    <s v="Plasticos SAC"/>
    <x v="6"/>
    <x v="0"/>
    <s v="John"/>
    <n v="234999"/>
    <n v="23"/>
    <x v="4"/>
    <x v="32"/>
    <n v="10217.347830000001"/>
    <s v="Alta"/>
  </r>
  <r>
    <x v="3"/>
    <s v="Peru"/>
    <s v="Buenaventura Ingenieros, S.A."/>
    <x v="1"/>
    <x v="1"/>
    <s v="Ringo"/>
    <n v="220871"/>
    <n v="38"/>
    <x v="2"/>
    <x v="29"/>
    <n v="5812.3947369999996"/>
    <s v="Alta"/>
  </r>
  <r>
    <x v="3"/>
    <s v="Peru"/>
    <s v="Buenaventura Ingenieros, S.A."/>
    <x v="1"/>
    <x v="1"/>
    <s v="Ringo"/>
    <n v="153090"/>
    <n v="23"/>
    <x v="2"/>
    <x v="29"/>
    <n v="6656.0869570000004"/>
    <s v="Media"/>
  </r>
  <r>
    <x v="3"/>
    <s v="Peru"/>
    <s v="Ferrocarriles Centrales"/>
    <x v="1"/>
    <x v="1"/>
    <s v="John"/>
    <n v="247691"/>
    <n v="15"/>
    <x v="0"/>
    <x v="33"/>
    <n v="16512.733329999999"/>
    <s v="Alta"/>
  </r>
  <r>
    <x v="3"/>
    <s v="Peru"/>
    <s v="Asociacion de Fondos de Pensiones"/>
    <x v="3"/>
    <x v="0"/>
    <s v="Paul"/>
    <n v="55017"/>
    <n v="40"/>
    <x v="3"/>
    <x v="29"/>
    <n v="1375.425"/>
    <s v="Bajo"/>
  </r>
  <r>
    <x v="3"/>
    <s v="Peru"/>
    <s v="Synapsis del Peru"/>
    <x v="6"/>
    <x v="0"/>
    <s v="Paul"/>
    <n v="176805"/>
    <n v="37"/>
    <x v="0"/>
    <x v="29"/>
    <n v="4778.5135140000002"/>
    <s v="Media"/>
  </r>
  <r>
    <x v="3"/>
    <s v="Peru"/>
    <s v="Seguridad Integral Corp"/>
    <x v="6"/>
    <x v="0"/>
    <s v="Ringo"/>
    <n v="64955"/>
    <n v="15"/>
    <x v="2"/>
    <x v="29"/>
    <n v="4330.3333329999996"/>
    <s v="Bajo"/>
  </r>
  <r>
    <x v="3"/>
    <s v="Peru"/>
    <s v="Automotores Distribuidos"/>
    <x v="0"/>
    <x v="0"/>
    <s v="Ringo"/>
    <n v="80508"/>
    <n v="18"/>
    <x v="0"/>
    <x v="29"/>
    <n v="4472.6666670000004"/>
    <s v="Bajo"/>
  </r>
  <r>
    <x v="3"/>
    <s v="Peru"/>
    <s v="Minera de Cobre Supremo"/>
    <x v="1"/>
    <x v="1"/>
    <s v="Ringo"/>
    <n v="234572"/>
    <n v="41"/>
    <x v="3"/>
    <x v="29"/>
    <n v="5721.2682930000001"/>
    <s v="Alta"/>
  </r>
  <r>
    <x v="3"/>
    <s v="Peru"/>
    <s v="Minera de Cobre Supremo"/>
    <x v="1"/>
    <x v="1"/>
    <s v="Ringo"/>
    <n v="163163"/>
    <n v="16"/>
    <x v="2"/>
    <x v="29"/>
    <n v="10197.6875"/>
    <s v="Media"/>
  </r>
  <r>
    <x v="4"/>
    <s v="Peru"/>
    <s v="Asociacion de Fondos de Pensiones"/>
    <x v="3"/>
    <x v="0"/>
    <s v="Paul"/>
    <n v="130859"/>
    <n v="21"/>
    <x v="0"/>
    <x v="29"/>
    <n v="6231.3809520000004"/>
    <s v="Media"/>
  </r>
  <r>
    <x v="4"/>
    <s v="Peru"/>
    <s v="Seguridad Integral Corp"/>
    <x v="6"/>
    <x v="0"/>
    <s v="Ringo"/>
    <n v="58878"/>
    <n v="36"/>
    <x v="4"/>
    <x v="29"/>
    <n v="1635.5"/>
    <s v="Bajo"/>
  </r>
  <r>
    <x v="4"/>
    <s v="Peru"/>
    <s v="Automotores Distribuidos"/>
    <x v="0"/>
    <x v="0"/>
    <s v="Ringo"/>
    <n v="116148"/>
    <n v="37"/>
    <x v="0"/>
    <x v="29"/>
    <n v="3139.135135"/>
    <s v="Media"/>
  </r>
  <r>
    <x v="4"/>
    <s v="Peru"/>
    <s v="Minera de Cobre Supremo"/>
    <x v="1"/>
    <x v="1"/>
    <s v="Ringo"/>
    <n v="78119"/>
    <n v="38"/>
    <x v="0"/>
    <x v="29"/>
    <n v="2055.7631580000002"/>
    <s v="Bajo"/>
  </r>
  <r>
    <x v="4"/>
    <s v="Peru"/>
    <s v="Minera de Cobre Supremo"/>
    <x v="1"/>
    <x v="1"/>
    <s v="Ringo"/>
    <n v="117337"/>
    <n v="22"/>
    <x v="2"/>
    <x v="29"/>
    <n v="5333.5"/>
    <s v="Media"/>
  </r>
  <r>
    <x v="4"/>
    <s v="Peru"/>
    <s v="Minera Aventurera"/>
    <x v="1"/>
    <x v="1"/>
    <s v="Ringo"/>
    <n v="246381"/>
    <n v="22"/>
    <x v="0"/>
    <x v="29"/>
    <n v="11199.13636"/>
    <s v="Alta"/>
  </r>
  <r>
    <x v="4"/>
    <s v="Peru"/>
    <s v="Minera de Cobre Supremo"/>
    <x v="1"/>
    <x v="1"/>
    <s v="Ringo"/>
    <n v="85868"/>
    <n v="38"/>
    <x v="4"/>
    <x v="29"/>
    <n v="2259.6842109999998"/>
    <s v="Bajo"/>
  </r>
  <r>
    <x v="4"/>
    <s v="Peru"/>
    <s v="Buenaventura Ingenieros, S.A."/>
    <x v="1"/>
    <x v="1"/>
    <s v="Ringo"/>
    <n v="248199"/>
    <n v="42"/>
    <x v="0"/>
    <x v="29"/>
    <n v="5909.5"/>
    <s v="Alta"/>
  </r>
  <r>
    <x v="4"/>
    <s v="Peru"/>
    <s v="Asociacion de Fondos de Pensiones"/>
    <x v="3"/>
    <x v="0"/>
    <s v="Paul"/>
    <n v="72504"/>
    <n v="38"/>
    <x v="2"/>
    <x v="29"/>
    <n v="1908"/>
    <s v="Bajo"/>
  </r>
  <r>
    <x v="4"/>
    <s v="Peru"/>
    <s v="Asociacion de Fondos de Pensiones"/>
    <x v="3"/>
    <x v="0"/>
    <s v="Paul"/>
    <n v="222234"/>
    <n v="33"/>
    <x v="0"/>
    <x v="29"/>
    <n v="6734.363636"/>
    <s v="Alta"/>
  </r>
  <r>
    <x v="4"/>
    <s v="Peru"/>
    <s v="Automotores Distribuidos"/>
    <x v="0"/>
    <x v="0"/>
    <s v="Ringo"/>
    <n v="77987"/>
    <n v="33"/>
    <x v="2"/>
    <x v="29"/>
    <n v="2363.242424"/>
    <s v="Bajo"/>
  </r>
  <r>
    <x v="4"/>
    <s v="Peru"/>
    <s v="Minera de Cobre Supremo"/>
    <x v="1"/>
    <x v="1"/>
    <s v="Ringo"/>
    <n v="86702"/>
    <n v="21"/>
    <x v="0"/>
    <x v="29"/>
    <n v="4128.6666670000004"/>
    <s v="Bajo"/>
  </r>
  <r>
    <x v="4"/>
    <s v="Peru"/>
    <s v="Minera de Cobre Supremo"/>
    <x v="1"/>
    <x v="1"/>
    <s v="Ringo"/>
    <n v="218040"/>
    <n v="32"/>
    <x v="2"/>
    <x v="29"/>
    <n v="6813.75"/>
    <s v="Alta"/>
  </r>
  <r>
    <x v="4"/>
    <s v="Peru"/>
    <s v="Minera de Cobre Supremo"/>
    <x v="1"/>
    <x v="1"/>
    <s v="Ringo"/>
    <n v="86031"/>
    <n v="40"/>
    <x v="0"/>
    <x v="29"/>
    <n v="2150.7750000000001"/>
    <s v="Bajo"/>
  </r>
  <r>
    <x v="4"/>
    <s v="Peru"/>
    <s v="Minera Aventurera"/>
    <x v="1"/>
    <x v="1"/>
    <s v="Ringo"/>
    <n v="82758"/>
    <n v="18"/>
    <x v="0"/>
    <x v="29"/>
    <n v="4597.6666670000004"/>
    <s v="Bajo"/>
  </r>
  <r>
    <x v="4"/>
    <s v="Peru"/>
    <s v="NEXTEL PERU S.A."/>
    <x v="1"/>
    <x v="1"/>
    <s v="Ringo"/>
    <n v="214887"/>
    <n v="32"/>
    <x v="1"/>
    <x v="34"/>
    <n v="6715.21875"/>
    <s v="Alta"/>
  </r>
  <r>
    <x v="4"/>
    <s v="Peru"/>
    <s v="Asociacion de Fondos de Pensiones"/>
    <x v="3"/>
    <x v="0"/>
    <s v="Paul"/>
    <n v="213158"/>
    <n v="27"/>
    <x v="4"/>
    <x v="29"/>
    <n v="7894.7407409999996"/>
    <s v="Alta"/>
  </r>
  <r>
    <x v="4"/>
    <s v="Peru"/>
    <s v="Asociacion de Fondos de Pensiones"/>
    <x v="3"/>
    <x v="0"/>
    <s v="Paul"/>
    <n v="247148"/>
    <n v="25"/>
    <x v="3"/>
    <x v="29"/>
    <n v="9885.92"/>
    <s v="Alta"/>
  </r>
  <r>
    <x v="4"/>
    <s v="Peru"/>
    <s v="Synapsis del Peru"/>
    <x v="6"/>
    <x v="0"/>
    <s v="Paul"/>
    <n v="167422"/>
    <n v="22"/>
    <x v="2"/>
    <x v="29"/>
    <n v="7610.0909089999996"/>
    <s v="Media"/>
  </r>
  <r>
    <x v="4"/>
    <s v="Peru"/>
    <s v="Minera de Cobre Supremo"/>
    <x v="1"/>
    <x v="1"/>
    <s v="Ringo"/>
    <n v="122128"/>
    <n v="28"/>
    <x v="4"/>
    <x v="29"/>
    <n v="4361.7142860000004"/>
    <s v="Media"/>
  </r>
  <r>
    <x v="4"/>
    <s v="Peru"/>
    <s v="Minera de Cobre Supremo"/>
    <x v="1"/>
    <x v="1"/>
    <s v="Ringo"/>
    <n v="109633"/>
    <n v="23"/>
    <x v="2"/>
    <x v="29"/>
    <n v="4766.6521739999998"/>
    <s v="Media"/>
  </r>
  <r>
    <x v="4"/>
    <s v="Peru"/>
    <s v="Minera Aventurera"/>
    <x v="1"/>
    <x v="1"/>
    <s v="Ringo"/>
    <n v="167740"/>
    <n v="19"/>
    <x v="2"/>
    <x v="29"/>
    <n v="8828.421053"/>
    <s v="Media"/>
  </r>
  <r>
    <x v="4"/>
    <s v="Peru"/>
    <s v="Automotores Distribuidos"/>
    <x v="0"/>
    <x v="0"/>
    <s v="Ringo"/>
    <n v="206146"/>
    <n v="31"/>
    <x v="4"/>
    <x v="29"/>
    <n v="6649.8709680000002"/>
    <s v="Alta"/>
  </r>
  <r>
    <x v="5"/>
    <s v="Peru"/>
    <s v="Ferrocarriles Centrales"/>
    <x v="7"/>
    <x v="0"/>
    <s v="John"/>
    <n v="207279"/>
    <n v="32"/>
    <x v="0"/>
    <x v="35"/>
    <n v="6477.46875"/>
    <s v="Alta"/>
  </r>
  <r>
    <x v="5"/>
    <s v="Peru"/>
    <s v="Tiendas Wang"/>
    <x v="4"/>
    <x v="0"/>
    <s v="Ringo"/>
    <n v="141765"/>
    <n v="25"/>
    <x v="3"/>
    <x v="35"/>
    <n v="5670.6"/>
    <s v="Media"/>
  </r>
  <r>
    <x v="6"/>
    <s v="Peru"/>
    <s v="Tiendas Wang"/>
    <x v="4"/>
    <x v="0"/>
    <s v="Ringo"/>
    <n v="98184"/>
    <n v="37"/>
    <x v="0"/>
    <x v="35"/>
    <n v="2653.6216220000001"/>
    <s v="Bajo"/>
  </r>
  <r>
    <x v="6"/>
    <s v="Peru"/>
    <s v="Minera Hatun Exitokuna"/>
    <x v="7"/>
    <x v="0"/>
    <s v="John"/>
    <n v="143852"/>
    <n v="16"/>
    <x v="2"/>
    <x v="35"/>
    <n v="8990.75"/>
    <s v="Media"/>
  </r>
  <r>
    <x v="6"/>
    <s v="Peru"/>
    <s v="Hoteles Corp"/>
    <x v="5"/>
    <x v="1"/>
    <s v="Ringo"/>
    <n v="145865"/>
    <n v="32"/>
    <x v="2"/>
    <x v="36"/>
    <n v="4558.28125"/>
    <s v="Media"/>
  </r>
  <r>
    <x v="6"/>
    <s v="Peru"/>
    <s v="Petrobras Energia Peru, S.A."/>
    <x v="7"/>
    <x v="0"/>
    <s v="Paul"/>
    <n v="238566"/>
    <n v="18"/>
    <x v="0"/>
    <x v="37"/>
    <n v="13253.666670000001"/>
    <s v="Alta"/>
  </r>
  <r>
    <x v="6"/>
    <s v="Peru"/>
    <s v="Tiendas Wang"/>
    <x v="4"/>
    <x v="0"/>
    <s v="Ringo"/>
    <n v="170460"/>
    <n v="39"/>
    <x v="2"/>
    <x v="35"/>
    <n v="4370.7692310000002"/>
    <s v="Media"/>
  </r>
  <r>
    <x v="6"/>
    <s v="Peru"/>
    <s v="Minera Hatun Exitokuna"/>
    <x v="7"/>
    <x v="0"/>
    <s v="John"/>
    <n v="244710"/>
    <n v="28"/>
    <x v="2"/>
    <x v="35"/>
    <n v="8739.6428570000007"/>
    <s v="Alta"/>
  </r>
  <r>
    <x v="6"/>
    <s v="Peru"/>
    <s v="Banco Interno"/>
    <x v="5"/>
    <x v="1"/>
    <s v="Paul"/>
    <n v="188140"/>
    <n v="18"/>
    <x v="4"/>
    <x v="35"/>
    <n v="10452.22222"/>
    <s v="Media"/>
  </r>
  <r>
    <x v="6"/>
    <s v="Peru"/>
    <s v="Banco Interno"/>
    <x v="8"/>
    <x v="1"/>
    <s v="Paul"/>
    <n v="221649"/>
    <n v="37"/>
    <x v="2"/>
    <x v="35"/>
    <n v="5990.5135140000002"/>
    <s v="Alta"/>
  </r>
  <r>
    <x v="6"/>
    <s v="Peru"/>
    <s v="Banco Interno"/>
    <x v="8"/>
    <x v="1"/>
    <s v="Ringo"/>
    <n v="52283"/>
    <n v="32"/>
    <x v="2"/>
    <x v="35"/>
    <n v="1633.84375"/>
    <s v="Bajo"/>
  </r>
  <r>
    <x v="0"/>
    <s v="Peru"/>
    <s v="Maquillajes Unidos"/>
    <x v="1"/>
    <x v="1"/>
    <s v="Ringo"/>
    <n v="189756"/>
    <n v="37"/>
    <x v="4"/>
    <x v="38"/>
    <n v="5128.5405410000003"/>
    <s v="Media"/>
  </r>
  <r>
    <x v="0"/>
    <s v="Peru"/>
    <s v="Ferrocarriles Centrales"/>
    <x v="7"/>
    <x v="0"/>
    <s v="Ringo"/>
    <n v="140881"/>
    <n v="20"/>
    <x v="4"/>
    <x v="35"/>
    <n v="7044.05"/>
    <s v="Media"/>
  </r>
  <r>
    <x v="0"/>
    <s v="Peru"/>
    <s v="Tiendas Wang"/>
    <x v="4"/>
    <x v="0"/>
    <s v="Ringo"/>
    <n v="61931"/>
    <n v="16"/>
    <x v="0"/>
    <x v="35"/>
    <n v="3870.6875"/>
    <s v="Bajo"/>
  </r>
  <r>
    <x v="0"/>
    <s v="Peru"/>
    <s v="Tiendas Wang"/>
    <x v="4"/>
    <x v="0"/>
    <s v="Ringo"/>
    <n v="111214"/>
    <n v="25"/>
    <x v="0"/>
    <x v="35"/>
    <n v="4448.5600000000004"/>
    <s v="Media"/>
  </r>
  <r>
    <x v="0"/>
    <s v="Peru"/>
    <s v="Empresa Minera La Aventura"/>
    <x v="1"/>
    <x v="1"/>
    <s v="John"/>
    <n v="155974"/>
    <n v="30"/>
    <x v="4"/>
    <x v="35"/>
    <n v="5199.1333329999998"/>
    <s v="Media"/>
  </r>
  <r>
    <x v="0"/>
    <s v="Peru"/>
    <s v="Mina Linda Gente"/>
    <x v="7"/>
    <x v="0"/>
    <s v="John"/>
    <n v="148946"/>
    <n v="31"/>
    <x v="0"/>
    <x v="35"/>
    <n v="4804.7096769999998"/>
    <s v="Media"/>
  </r>
  <r>
    <x v="0"/>
    <s v="Peru"/>
    <s v="Banco Interno"/>
    <x v="5"/>
    <x v="1"/>
    <s v="Paul"/>
    <n v="204161"/>
    <n v="30"/>
    <x v="0"/>
    <x v="35"/>
    <n v="6805.3666670000002"/>
    <s v="Alta"/>
  </r>
  <r>
    <x v="0"/>
    <s v="Peru"/>
    <s v="Tecnologica de Alimentos, S.A."/>
    <x v="1"/>
    <x v="1"/>
    <s v="Ringo"/>
    <n v="229428"/>
    <n v="42"/>
    <x v="3"/>
    <x v="39"/>
    <n v="5462.5714289999996"/>
    <s v="Alta"/>
  </r>
  <r>
    <x v="7"/>
    <s v="Peru"/>
    <s v="IFH Peru LTD"/>
    <x v="1"/>
    <x v="1"/>
    <s v="John"/>
    <n v="109089"/>
    <n v="20"/>
    <x v="1"/>
    <x v="38"/>
    <n v="5454.45"/>
    <s v="Media"/>
  </r>
  <r>
    <x v="7"/>
    <s v="Peru"/>
    <s v="Tiendas Wang"/>
    <x v="4"/>
    <x v="0"/>
    <s v="Ringo"/>
    <n v="120701"/>
    <n v="20"/>
    <x v="0"/>
    <x v="35"/>
    <n v="6035.05"/>
    <s v="Media"/>
  </r>
  <r>
    <x v="7"/>
    <s v="Peru"/>
    <s v="CLINICA INTERNACIONAL S.A."/>
    <x v="1"/>
    <x v="1"/>
    <s v="John"/>
    <n v="85080"/>
    <n v="28"/>
    <x v="0"/>
    <x v="35"/>
    <n v="3038.5714290000001"/>
    <s v="Bajo"/>
  </r>
  <r>
    <x v="7"/>
    <s v="Peru"/>
    <s v="RIMAC Corp"/>
    <x v="1"/>
    <x v="1"/>
    <s v="John"/>
    <n v="64098"/>
    <n v="29"/>
    <x v="4"/>
    <x v="35"/>
    <n v="2210.275862"/>
    <s v="Bajo"/>
  </r>
  <r>
    <x v="7"/>
    <s v="Peru"/>
    <s v="Banco Interno"/>
    <x v="5"/>
    <x v="1"/>
    <s v="Paul"/>
    <n v="91885"/>
    <n v="26"/>
    <x v="3"/>
    <x v="35"/>
    <n v="3534.038462"/>
    <s v="Bajo"/>
  </r>
  <r>
    <x v="7"/>
    <s v="Peru"/>
    <s v="Banco Interno"/>
    <x v="5"/>
    <x v="1"/>
    <s v="Paul"/>
    <n v="116600"/>
    <n v="38"/>
    <x v="0"/>
    <x v="35"/>
    <n v="3068.421053"/>
    <s v="Media"/>
  </r>
  <r>
    <x v="7"/>
    <s v="Peru"/>
    <s v="Banco Interno"/>
    <x v="8"/>
    <x v="1"/>
    <s v="Paul"/>
    <n v="83595"/>
    <n v="42"/>
    <x v="2"/>
    <x v="35"/>
    <n v="1990.357143"/>
    <s v="Bajo"/>
  </r>
  <r>
    <x v="7"/>
    <s v="Peru"/>
    <s v="Hoteles Corp"/>
    <x v="5"/>
    <x v="1"/>
    <s v="Ringo"/>
    <n v="148864"/>
    <n v="40"/>
    <x v="0"/>
    <x v="36"/>
    <n v="3721.6"/>
    <s v="Media"/>
  </r>
  <r>
    <x v="7"/>
    <s v="Peru"/>
    <s v="Banco Interno"/>
    <x v="8"/>
    <x v="1"/>
    <s v="Ringo"/>
    <n v="173560"/>
    <n v="28"/>
    <x v="0"/>
    <x v="35"/>
    <n v="6198.5714289999996"/>
    <s v="Media"/>
  </r>
  <r>
    <x v="7"/>
    <s v="Peru"/>
    <s v="JJC Contratistas"/>
    <x v="7"/>
    <x v="0"/>
    <s v="John"/>
    <n v="120175"/>
    <n v="19"/>
    <x v="4"/>
    <x v="40"/>
    <n v="6325"/>
    <s v="Media"/>
  </r>
  <r>
    <x v="7"/>
    <s v="Peru"/>
    <s v="MANUFACTURAS ELECTRICAS S.A."/>
    <x v="4"/>
    <x v="0"/>
    <s v="John"/>
    <n v="233088"/>
    <n v="27"/>
    <x v="1"/>
    <x v="41"/>
    <n v="8632.8888889999998"/>
    <s v="Alta"/>
  </r>
  <r>
    <x v="7"/>
    <s v="Peru"/>
    <s v="Gloria"/>
    <x v="7"/>
    <x v="0"/>
    <s v="Ringo"/>
    <n v="220243"/>
    <n v="30"/>
    <x v="0"/>
    <x v="41"/>
    <n v="7341.4333329999999"/>
    <s v="Alta"/>
  </r>
  <r>
    <x v="7"/>
    <s v="Peru"/>
    <s v="Neptunia, S.A."/>
    <x v="7"/>
    <x v="0"/>
    <s v="Ringo"/>
    <n v="219307"/>
    <n v="36"/>
    <x v="4"/>
    <x v="42"/>
    <n v="6091.8611110000002"/>
    <s v="Alta"/>
  </r>
  <r>
    <x v="7"/>
    <s v="Peru"/>
    <s v="CROSLAND LOGISTICA"/>
    <x v="7"/>
    <x v="0"/>
    <s v="Ringo"/>
    <n v="214123"/>
    <n v="39"/>
    <x v="2"/>
    <x v="41"/>
    <n v="5490.3333329999996"/>
    <s v="Alta"/>
  </r>
  <r>
    <x v="7"/>
    <s v="Peru"/>
    <s v="Tiendas Wang"/>
    <x v="4"/>
    <x v="0"/>
    <s v="Ringo"/>
    <n v="85814"/>
    <n v="29"/>
    <x v="0"/>
    <x v="35"/>
    <n v="2959.1034479999998"/>
    <s v="Bajo"/>
  </r>
  <r>
    <x v="7"/>
    <s v="Peru"/>
    <s v="Tiendas Wang"/>
    <x v="4"/>
    <x v="0"/>
    <s v="Ringo"/>
    <n v="196431"/>
    <n v="30"/>
    <x v="0"/>
    <x v="35"/>
    <n v="6547.7"/>
    <s v="Media"/>
  </r>
  <r>
    <x v="7"/>
    <s v="Peru"/>
    <s v="Grupo Central"/>
    <x v="1"/>
    <x v="1"/>
    <s v="John"/>
    <n v="191756"/>
    <n v="26"/>
    <x v="0"/>
    <x v="35"/>
    <n v="7375.2307689999998"/>
    <s v="Media"/>
  </r>
  <r>
    <x v="7"/>
    <s v="Peru"/>
    <s v="Minera Hatun Exitokuna"/>
    <x v="7"/>
    <x v="0"/>
    <s v="John"/>
    <n v="149397"/>
    <n v="26"/>
    <x v="0"/>
    <x v="35"/>
    <n v="5746.0384620000004"/>
    <s v="Media"/>
  </r>
  <r>
    <x v="7"/>
    <s v="Peru"/>
    <s v="Minera Hatun Exitokuna"/>
    <x v="7"/>
    <x v="0"/>
    <s v="John"/>
    <n v="133678"/>
    <n v="42"/>
    <x v="2"/>
    <x v="35"/>
    <n v="3182.8095239999998"/>
    <s v="Media"/>
  </r>
  <r>
    <x v="7"/>
    <s v="Peru"/>
    <s v="Banco Interno"/>
    <x v="5"/>
    <x v="1"/>
    <s v="Paul"/>
    <n v="80668"/>
    <n v="35"/>
    <x v="0"/>
    <x v="35"/>
    <n v="2304.8000000000002"/>
    <s v="Bajo"/>
  </r>
  <r>
    <x v="7"/>
    <s v="Peru"/>
    <s v="Banco Interno"/>
    <x v="8"/>
    <x v="1"/>
    <s v="Paul"/>
    <n v="81427"/>
    <n v="39"/>
    <x v="2"/>
    <x v="35"/>
    <n v="2087.871795"/>
    <s v="Bajo"/>
  </r>
  <r>
    <x v="7"/>
    <s v="Peru"/>
    <s v="Banco Interno"/>
    <x v="8"/>
    <x v="1"/>
    <s v="Paul"/>
    <n v="151115"/>
    <n v="35"/>
    <x v="0"/>
    <x v="35"/>
    <n v="4317.5714289999996"/>
    <s v="Media"/>
  </r>
  <r>
    <x v="7"/>
    <s v="Peru"/>
    <s v="Banco Interno"/>
    <x v="8"/>
    <x v="1"/>
    <s v="Ringo"/>
    <n v="101943"/>
    <n v="33"/>
    <x v="2"/>
    <x v="35"/>
    <n v="3089.181818"/>
    <s v="Media"/>
  </r>
  <r>
    <x v="7"/>
    <s v="Peru"/>
    <s v="Ajies Rellenos Inc."/>
    <x v="1"/>
    <x v="1"/>
    <s v="John"/>
    <n v="220780"/>
    <n v="34"/>
    <x v="3"/>
    <x v="38"/>
    <n v="6493.5294119999999"/>
    <s v="Alta"/>
  </r>
  <r>
    <x v="7"/>
    <s v="Peru"/>
    <s v="INMOBILIARI S.A."/>
    <x v="7"/>
    <x v="0"/>
    <s v="Ringo"/>
    <n v="63871"/>
    <n v="18"/>
    <x v="0"/>
    <x v="43"/>
    <n v="3548.3888889999998"/>
    <s v="Bajo"/>
  </r>
  <r>
    <x v="7"/>
    <s v="Peru"/>
    <s v="MAESTRO PERU S.A."/>
    <x v="5"/>
    <x v="1"/>
    <s v="George"/>
    <n v="53014"/>
    <n v="27"/>
    <x v="2"/>
    <x v="35"/>
    <n v="1963.481481"/>
    <s v="Bajo"/>
  </r>
  <r>
    <x v="7"/>
    <s v="Peru"/>
    <s v="Tiendas Wang"/>
    <x v="4"/>
    <x v="0"/>
    <s v="Ringo"/>
    <n v="181176"/>
    <n v="15"/>
    <x v="4"/>
    <x v="35"/>
    <n v="12078.4"/>
    <s v="Media"/>
  </r>
  <r>
    <x v="7"/>
    <s v="Peru"/>
    <s v="NGRESTAURANTS"/>
    <x v="5"/>
    <x v="1"/>
    <s v="John"/>
    <n v="114232"/>
    <n v="35"/>
    <x v="4"/>
    <x v="44"/>
    <n v="3263.7714289999999"/>
    <s v="Media"/>
  </r>
  <r>
    <x v="7"/>
    <s v="Peru"/>
    <s v="JJC Contratistas"/>
    <x v="7"/>
    <x v="0"/>
    <s v="Ringo"/>
    <n v="97938"/>
    <n v="35"/>
    <x v="0"/>
    <x v="41"/>
    <n v="2798.2285710000001"/>
    <s v="Bajo"/>
  </r>
  <r>
    <x v="7"/>
    <s v="Peru"/>
    <s v="Maquillajes Unidos"/>
    <x v="1"/>
    <x v="1"/>
    <s v="Ringo"/>
    <n v="160668"/>
    <n v="25"/>
    <x v="4"/>
    <x v="38"/>
    <n v="6426.72"/>
    <s v="Media"/>
  </r>
  <r>
    <x v="7"/>
    <s v="Peru"/>
    <s v="Ferrocarriles Centrales"/>
    <x v="7"/>
    <x v="0"/>
    <s v="Ringo"/>
    <n v="159094"/>
    <n v="17"/>
    <x v="0"/>
    <x v="35"/>
    <n v="9358.4705880000001"/>
    <s v="Media"/>
  </r>
  <r>
    <x v="7"/>
    <s v="Peru"/>
    <s v="Grupo Central"/>
    <x v="1"/>
    <x v="1"/>
    <s v="John"/>
    <n v="145503"/>
    <n v="27"/>
    <x v="0"/>
    <x v="35"/>
    <n v="5389"/>
    <s v="Media"/>
  </r>
  <r>
    <x v="7"/>
    <s v="Peru"/>
    <s v="Banco Interno"/>
    <x v="5"/>
    <x v="1"/>
    <s v="Paul"/>
    <n v="145459"/>
    <n v="18"/>
    <x v="0"/>
    <x v="35"/>
    <n v="8081.0555560000003"/>
    <s v="Media"/>
  </r>
  <r>
    <x v="7"/>
    <s v="Peru"/>
    <s v="Ajies Rellenos Inc."/>
    <x v="7"/>
    <x v="0"/>
    <s v="John"/>
    <n v="202862"/>
    <n v="35"/>
    <x v="4"/>
    <x v="40"/>
    <n v="5796.057143"/>
    <s v="Alta"/>
  </r>
  <r>
    <x v="7"/>
    <s v="Peru"/>
    <s v="Hoteles Corp"/>
    <x v="1"/>
    <x v="1"/>
    <s v="Ringo"/>
    <n v="198428"/>
    <n v="29"/>
    <x v="1"/>
    <x v="44"/>
    <n v="6842.3448280000002"/>
    <s v="Media"/>
  </r>
  <r>
    <x v="7"/>
    <s v="Peru"/>
    <s v="Tiendas Wang"/>
    <x v="4"/>
    <x v="0"/>
    <s v="Ringo"/>
    <n v="66793"/>
    <n v="32"/>
    <x v="2"/>
    <x v="35"/>
    <n v="2087.28125"/>
    <s v="Bajo"/>
  </r>
  <r>
    <x v="7"/>
    <s v="Peru"/>
    <s v="Minsur, S.A."/>
    <x v="1"/>
    <x v="1"/>
    <s v="John"/>
    <n v="239300"/>
    <n v="16"/>
    <x v="0"/>
    <x v="35"/>
    <n v="14956.25"/>
    <s v="Alta"/>
  </r>
  <r>
    <x v="7"/>
    <s v="Peru"/>
    <s v="Minera Hatun Exitokuna"/>
    <x v="7"/>
    <x v="0"/>
    <s v="John"/>
    <n v="155280"/>
    <n v="30"/>
    <x v="0"/>
    <x v="35"/>
    <n v="5176"/>
    <s v="Media"/>
  </r>
  <r>
    <x v="7"/>
    <s v="Peru"/>
    <s v="Banco Interno"/>
    <x v="5"/>
    <x v="1"/>
    <s v="Paul"/>
    <n v="117727"/>
    <n v="28"/>
    <x v="0"/>
    <x v="35"/>
    <n v="4204.5357139999996"/>
    <s v="Media"/>
  </r>
  <r>
    <x v="7"/>
    <s v="Peru"/>
    <s v="Banco Egipcio Nacional"/>
    <x v="8"/>
    <x v="1"/>
    <s v="Ringo"/>
    <n v="214851"/>
    <n v="35"/>
    <x v="2"/>
    <x v="35"/>
    <n v="6138.6"/>
    <s v="Alta"/>
  </r>
  <r>
    <x v="7"/>
    <s v="Peru"/>
    <s v="CROSLAND LOGISTICA"/>
    <x v="7"/>
    <x v="0"/>
    <s v="Ringo"/>
    <n v="157862"/>
    <n v="22"/>
    <x v="2"/>
    <x v="41"/>
    <n v="7175.5454550000004"/>
    <s v="Media"/>
  </r>
  <r>
    <x v="7"/>
    <s v="Peru"/>
    <s v="Grupo Central"/>
    <x v="1"/>
    <x v="1"/>
    <s v="John"/>
    <n v="89788"/>
    <n v="34"/>
    <x v="0"/>
    <x v="35"/>
    <n v="2640.8235289999998"/>
    <s v="Bajo"/>
  </r>
  <r>
    <x v="7"/>
    <s v="Peru"/>
    <s v="Ajies Rellenos Inc."/>
    <x v="7"/>
    <x v="0"/>
    <s v="John"/>
    <n v="210899"/>
    <n v="17"/>
    <x v="4"/>
    <x v="45"/>
    <n v="12405.82353"/>
    <s v="Alta"/>
  </r>
  <r>
    <x v="7"/>
    <s v="Peru"/>
    <s v="SIERRA MACHINES S.A.C."/>
    <x v="4"/>
    <x v="0"/>
    <s v="Ringo"/>
    <n v="231912"/>
    <n v="18"/>
    <x v="2"/>
    <x v="38"/>
    <n v="12884"/>
    <s v="Alta"/>
  </r>
  <r>
    <x v="7"/>
    <s v="Peru"/>
    <s v="Maquillajes Unidos"/>
    <x v="1"/>
    <x v="1"/>
    <s v="Ringo"/>
    <n v="226176"/>
    <n v="41"/>
    <x v="1"/>
    <x v="41"/>
    <n v="5516.4878049999998"/>
    <s v="Alta"/>
  </r>
  <r>
    <x v="7"/>
    <s v="Peru"/>
    <s v="Almacenes Santa Clara, S.A."/>
    <x v="6"/>
    <x v="0"/>
    <s v="Paul"/>
    <n v="145869"/>
    <n v="27"/>
    <x v="0"/>
    <x v="46"/>
    <n v="5402.5555560000003"/>
    <s v="Media"/>
  </r>
  <r>
    <x v="7"/>
    <s v="Peru"/>
    <s v="INMOBILIARI S.A."/>
    <x v="7"/>
    <x v="0"/>
    <s v="Ringo"/>
    <n v="153948"/>
    <n v="15"/>
    <x v="4"/>
    <x v="43"/>
    <n v="10263.200000000001"/>
    <s v="Media"/>
  </r>
  <r>
    <x v="7"/>
    <s v="Peru"/>
    <s v="Tiendas Wang"/>
    <x v="4"/>
    <x v="0"/>
    <s v="Ringo"/>
    <n v="192645"/>
    <n v="29"/>
    <x v="4"/>
    <x v="35"/>
    <n v="6642.9310340000002"/>
    <s v="Media"/>
  </r>
  <r>
    <x v="7"/>
    <s v="Peru"/>
    <s v="Tiendas Wang"/>
    <x v="4"/>
    <x v="0"/>
    <s v="Ringo"/>
    <n v="217306"/>
    <n v="19"/>
    <x v="4"/>
    <x v="35"/>
    <n v="11437.15789"/>
    <s v="Alta"/>
  </r>
  <r>
    <x v="7"/>
    <s v="Peru"/>
    <s v="Banco Egipcio Nacional"/>
    <x v="8"/>
    <x v="1"/>
    <s v="Paul"/>
    <n v="117698"/>
    <n v="18"/>
    <x v="0"/>
    <x v="35"/>
    <n v="6538.7777779999997"/>
    <s v="Media"/>
  </r>
  <r>
    <x v="7"/>
    <s v="Peru"/>
    <s v="San Martin Inc"/>
    <x v="5"/>
    <x v="1"/>
    <s v="Ringo"/>
    <n v="169781"/>
    <n v="32"/>
    <x v="2"/>
    <x v="35"/>
    <n v="5305.65625"/>
    <s v="Media"/>
  </r>
  <r>
    <x v="7"/>
    <s v="Peru"/>
    <s v="San Martin Inc"/>
    <x v="5"/>
    <x v="1"/>
    <s v="Ringo"/>
    <n v="183462"/>
    <n v="24"/>
    <x v="2"/>
    <x v="35"/>
    <n v="7644.25"/>
    <s v="Media"/>
  </r>
  <r>
    <x v="1"/>
    <s v="Peru"/>
    <s v="Americana de Contactos"/>
    <x v="1"/>
    <x v="1"/>
    <s v="George"/>
    <n v="61233"/>
    <n v="29"/>
    <x v="2"/>
    <x v="45"/>
    <n v="2111.482759"/>
    <s v="Bajo"/>
  </r>
  <r>
    <x v="1"/>
    <s v="Peru"/>
    <s v="Tiendas Wang"/>
    <x v="4"/>
    <x v="0"/>
    <s v="Ringo"/>
    <n v="237984"/>
    <n v="41"/>
    <x v="2"/>
    <x v="35"/>
    <n v="5804.4878049999998"/>
    <s v="Alta"/>
  </r>
  <r>
    <x v="1"/>
    <s v="Peru"/>
    <s v="Minsur, S.A."/>
    <x v="1"/>
    <x v="1"/>
    <s v="John"/>
    <n v="192611"/>
    <n v="33"/>
    <x v="4"/>
    <x v="35"/>
    <n v="5836.69697"/>
    <s v="Media"/>
  </r>
  <r>
    <x v="1"/>
    <s v="Peru"/>
    <s v="Minera Hatun Exitokuna"/>
    <x v="7"/>
    <x v="0"/>
    <s v="John"/>
    <n v="101061"/>
    <n v="34"/>
    <x v="3"/>
    <x v="35"/>
    <n v="2972.382353"/>
    <s v="Media"/>
  </r>
  <r>
    <x v="1"/>
    <s v="Peru"/>
    <s v="Minera Hatun Exitokuna"/>
    <x v="7"/>
    <x v="0"/>
    <s v="John"/>
    <n v="92899"/>
    <n v="20"/>
    <x v="0"/>
    <x v="35"/>
    <n v="4644.95"/>
    <s v="Bajo"/>
  </r>
  <r>
    <x v="1"/>
    <s v="Peru"/>
    <s v="Minera Hatun Exitokuna"/>
    <x v="7"/>
    <x v="0"/>
    <s v="John"/>
    <n v="219790"/>
    <n v="25"/>
    <x v="4"/>
    <x v="35"/>
    <n v="8791.6"/>
    <s v="Alta"/>
  </r>
  <r>
    <x v="1"/>
    <s v="Peru"/>
    <s v="Minera Hatun Exitokuna"/>
    <x v="7"/>
    <x v="0"/>
    <s v="John"/>
    <n v="139039"/>
    <n v="34"/>
    <x v="2"/>
    <x v="35"/>
    <n v="4089.382353"/>
    <s v="Media"/>
  </r>
  <r>
    <x v="1"/>
    <s v="Peru"/>
    <s v="Banco Egipcio Nacional"/>
    <x v="5"/>
    <x v="1"/>
    <s v="Paul"/>
    <n v="143488"/>
    <n v="28"/>
    <x v="0"/>
    <x v="35"/>
    <n v="5124.5714289999996"/>
    <s v="Media"/>
  </r>
  <r>
    <x v="1"/>
    <s v="Peru"/>
    <s v="Banco Egipcio Nacional"/>
    <x v="8"/>
    <x v="1"/>
    <s v="Paul"/>
    <n v="246692"/>
    <n v="39"/>
    <x v="2"/>
    <x v="35"/>
    <n v="6325.4358970000003"/>
    <s v="Alta"/>
  </r>
  <r>
    <x v="1"/>
    <s v="Peru"/>
    <s v="Hoteles Corp"/>
    <x v="5"/>
    <x v="1"/>
    <s v="Ringo"/>
    <n v="68670"/>
    <n v="27"/>
    <x v="4"/>
    <x v="36"/>
    <n v="2543.333333"/>
    <s v="Bajo"/>
  </r>
  <r>
    <x v="1"/>
    <s v="Peru"/>
    <s v="Hoteles Corp"/>
    <x v="5"/>
    <x v="1"/>
    <s v="Ringo"/>
    <n v="227782"/>
    <n v="31"/>
    <x v="0"/>
    <x v="36"/>
    <n v="7347.8064519999998"/>
    <s v="Alta"/>
  </r>
  <r>
    <x v="1"/>
    <s v="Peru"/>
    <s v="Gloria"/>
    <x v="7"/>
    <x v="0"/>
    <s v="Ringo"/>
    <n v="120260"/>
    <n v="38"/>
    <x v="2"/>
    <x v="41"/>
    <n v="3164.7368419999998"/>
    <s v="Media"/>
  </r>
  <r>
    <x v="1"/>
    <s v="Peru"/>
    <s v="Sociedad de Mineria Nueva"/>
    <x v="4"/>
    <x v="0"/>
    <s v="Ringo"/>
    <n v="58986"/>
    <n v="35"/>
    <x v="4"/>
    <x v="41"/>
    <n v="1685.314286"/>
    <s v="Bajo"/>
  </r>
  <r>
    <x v="1"/>
    <s v="Peru"/>
    <s v="Tiendas Wang"/>
    <x v="4"/>
    <x v="0"/>
    <s v="Ringo"/>
    <n v="174419"/>
    <n v="37"/>
    <x v="0"/>
    <x v="35"/>
    <n v="4714.0270270000001"/>
    <s v="Media"/>
  </r>
  <r>
    <x v="1"/>
    <s v="Peru"/>
    <s v="Tiendas Wang"/>
    <x v="4"/>
    <x v="0"/>
    <s v="Ringo"/>
    <n v="198516"/>
    <n v="29"/>
    <x v="0"/>
    <x v="35"/>
    <n v="6845.3793100000003"/>
    <s v="Media"/>
  </r>
  <r>
    <x v="1"/>
    <s v="Peru"/>
    <s v="Tiendas Wang"/>
    <x v="4"/>
    <x v="0"/>
    <s v="Ringo"/>
    <n v="184208"/>
    <n v="26"/>
    <x v="0"/>
    <x v="35"/>
    <n v="7084.9230770000004"/>
    <s v="Media"/>
  </r>
  <r>
    <x v="1"/>
    <s v="Peru"/>
    <s v="Minsur, S.A."/>
    <x v="1"/>
    <x v="1"/>
    <s v="John"/>
    <n v="100204"/>
    <n v="39"/>
    <x v="0"/>
    <x v="35"/>
    <n v="2569.333333"/>
    <s v="Media"/>
  </r>
  <r>
    <x v="1"/>
    <s v="Peru"/>
    <s v="RIMAC Corp"/>
    <x v="1"/>
    <x v="1"/>
    <s v="John"/>
    <n v="212447"/>
    <n v="29"/>
    <x v="0"/>
    <x v="35"/>
    <n v="7325.7586209999999"/>
    <s v="Alta"/>
  </r>
  <r>
    <x v="1"/>
    <s v="Peru"/>
    <s v="RIMAC Corp"/>
    <x v="1"/>
    <x v="1"/>
    <s v="John"/>
    <n v="239942"/>
    <n v="29"/>
    <x v="4"/>
    <x v="35"/>
    <n v="8273.8620690000007"/>
    <s v="Alta"/>
  </r>
  <r>
    <x v="1"/>
    <s v="Peru"/>
    <s v="Sociedad de Mineria Nueva"/>
    <x v="4"/>
    <x v="0"/>
    <s v="Ringo"/>
    <n v="198651"/>
    <n v="21"/>
    <x v="1"/>
    <x v="39"/>
    <n v="9459.5714289999996"/>
    <s v="Media"/>
  </r>
  <r>
    <x v="1"/>
    <s v="Peru"/>
    <s v="Ferrocarriles Centrales"/>
    <x v="7"/>
    <x v="0"/>
    <s v="Ringo"/>
    <n v="248774"/>
    <n v="26"/>
    <x v="0"/>
    <x v="35"/>
    <n v="9568.2307689999998"/>
    <s v="Alta"/>
  </r>
  <r>
    <x v="1"/>
    <s v="Peru"/>
    <s v="Tiendas Wang"/>
    <x v="4"/>
    <x v="0"/>
    <s v="Ringo"/>
    <n v="179447"/>
    <n v="32"/>
    <x v="0"/>
    <x v="35"/>
    <n v="5607.71875"/>
    <s v="Media"/>
  </r>
  <r>
    <x v="1"/>
    <s v="Peru"/>
    <s v="Tiendas Wang"/>
    <x v="4"/>
    <x v="0"/>
    <s v="Ringo"/>
    <n v="72960"/>
    <n v="36"/>
    <x v="0"/>
    <x v="35"/>
    <n v="2026.666667"/>
    <s v="Bajo"/>
  </r>
  <r>
    <x v="1"/>
    <s v="Peru"/>
    <s v="TEXFINA S.A."/>
    <x v="7"/>
    <x v="0"/>
    <s v="Ringo"/>
    <n v="109064"/>
    <n v="16"/>
    <x v="4"/>
    <x v="41"/>
    <n v="6816.5"/>
    <s v="Media"/>
  </r>
  <r>
    <x v="1"/>
    <s v="Peru"/>
    <s v="Americana de Contactos"/>
    <x v="1"/>
    <x v="1"/>
    <s v="George"/>
    <n v="164976"/>
    <n v="36"/>
    <x v="0"/>
    <x v="45"/>
    <n v="4582.6666670000004"/>
    <s v="Media"/>
  </r>
  <r>
    <x v="1"/>
    <s v="Peru"/>
    <s v="Sociedad de Mineria Nueva"/>
    <x v="4"/>
    <x v="0"/>
    <s v="Ringo"/>
    <n v="233246"/>
    <n v="17"/>
    <x v="0"/>
    <x v="41"/>
    <n v="13720.352940000001"/>
    <s v="Alta"/>
  </r>
  <r>
    <x v="1"/>
    <s v="Peru"/>
    <s v="Banco Egipcio Nacional"/>
    <x v="5"/>
    <x v="1"/>
    <s v="Paul"/>
    <n v="183123"/>
    <n v="16"/>
    <x v="4"/>
    <x v="35"/>
    <n v="11445.1875"/>
    <s v="Media"/>
  </r>
  <r>
    <x v="1"/>
    <s v="Peru"/>
    <s v="Banco Egipcio Nacional"/>
    <x v="5"/>
    <x v="1"/>
    <s v="Paul"/>
    <n v="170518"/>
    <n v="32"/>
    <x v="0"/>
    <x v="35"/>
    <n v="5328.6875"/>
    <s v="Media"/>
  </r>
  <r>
    <x v="1"/>
    <s v="Peru"/>
    <s v="Banco Egipcio Nacional"/>
    <x v="8"/>
    <x v="1"/>
    <s v="Paul"/>
    <n v="79375"/>
    <n v="25"/>
    <x v="0"/>
    <x v="35"/>
    <n v="3175"/>
    <s v="Bajo"/>
  </r>
  <r>
    <x v="1"/>
    <s v="Peru"/>
    <s v="Banco Egipcio Nacional"/>
    <x v="8"/>
    <x v="1"/>
    <s v="Paul"/>
    <n v="91631"/>
    <n v="26"/>
    <x v="2"/>
    <x v="35"/>
    <n v="3524.2692310000002"/>
    <s v="Bajo"/>
  </r>
  <r>
    <x v="1"/>
    <s v="Peru"/>
    <s v="Banco Egipcio Nacional"/>
    <x v="8"/>
    <x v="1"/>
    <s v="Paul"/>
    <n v="197505"/>
    <n v="29"/>
    <x v="0"/>
    <x v="35"/>
    <n v="6810.5172409999996"/>
    <s v="Media"/>
  </r>
  <r>
    <x v="1"/>
    <s v="Peru"/>
    <s v="Hoteles Corp"/>
    <x v="5"/>
    <x v="1"/>
    <s v="Ringo"/>
    <n v="87161"/>
    <n v="17"/>
    <x v="0"/>
    <x v="36"/>
    <n v="5127.117647"/>
    <s v="Bajo"/>
  </r>
  <r>
    <x v="1"/>
    <s v="Peru"/>
    <s v="Banco Egipcio Nacional"/>
    <x v="8"/>
    <x v="1"/>
    <s v="Ringo"/>
    <n v="225074"/>
    <n v="17"/>
    <x v="2"/>
    <x v="35"/>
    <n v="13239.647059999999"/>
    <s v="Alta"/>
  </r>
  <r>
    <x v="1"/>
    <s v="Peru"/>
    <s v="Gloria"/>
    <x v="7"/>
    <x v="0"/>
    <s v="Ringo"/>
    <n v="229595"/>
    <n v="20"/>
    <x v="2"/>
    <x v="41"/>
    <n v="11479.75"/>
    <s v="Alta"/>
  </r>
  <r>
    <x v="1"/>
    <s v="Peru"/>
    <s v="Servicios Generales"/>
    <x v="1"/>
    <x v="1"/>
    <s v="Ringo"/>
    <n v="230903"/>
    <n v="35"/>
    <x v="1"/>
    <x v="35"/>
    <n v="6597.2285709999996"/>
    <s v="Alta"/>
  </r>
  <r>
    <x v="1"/>
    <s v="Peru"/>
    <s v="Tiendas Wang"/>
    <x v="4"/>
    <x v="0"/>
    <s v="Ringo"/>
    <n v="169458"/>
    <n v="17"/>
    <x v="0"/>
    <x v="35"/>
    <n v="9968.1176469999991"/>
    <s v="Media"/>
  </r>
  <r>
    <x v="1"/>
    <s v="Peru"/>
    <s v="Minera Hatun Exitokuna"/>
    <x v="7"/>
    <x v="0"/>
    <s v="John"/>
    <n v="162994"/>
    <n v="29"/>
    <x v="2"/>
    <x v="35"/>
    <n v="5620.4827590000004"/>
    <s v="Media"/>
  </r>
  <r>
    <x v="1"/>
    <s v="Peru"/>
    <s v="Banco Egipcio Nacional"/>
    <x v="5"/>
    <x v="1"/>
    <s v="Paul"/>
    <n v="152617"/>
    <n v="36"/>
    <x v="0"/>
    <x v="35"/>
    <n v="4239.3611110000002"/>
    <s v="Media"/>
  </r>
  <r>
    <x v="1"/>
    <s v="Peru"/>
    <s v="San Martin Inc"/>
    <x v="5"/>
    <x v="1"/>
    <s v="Ringo"/>
    <n v="201906"/>
    <n v="21"/>
    <x v="0"/>
    <x v="35"/>
    <n v="9614.5714289999996"/>
    <s v="Alta"/>
  </r>
  <r>
    <x v="1"/>
    <s v="Peru"/>
    <s v="Banco Egipcio Nacional"/>
    <x v="8"/>
    <x v="1"/>
    <s v="Ringo"/>
    <n v="138797"/>
    <n v="37"/>
    <x v="2"/>
    <x v="35"/>
    <n v="3751.27027"/>
    <s v="Media"/>
  </r>
  <r>
    <x v="1"/>
    <s v="Peru"/>
    <s v="JJC Contratistas"/>
    <x v="7"/>
    <x v="0"/>
    <s v="Ringo"/>
    <n v="81100"/>
    <n v="21"/>
    <x v="4"/>
    <x v="45"/>
    <n v="3861.9047620000001"/>
    <s v="Bajo"/>
  </r>
  <r>
    <x v="1"/>
    <s v="Peru"/>
    <s v="Banco Interno"/>
    <x v="7"/>
    <x v="0"/>
    <s v="Ringo"/>
    <n v="186666"/>
    <n v="40"/>
    <x v="3"/>
    <x v="41"/>
    <n v="4666.6499999999996"/>
    <s v="Media"/>
  </r>
  <r>
    <x v="1"/>
    <s v="Peru"/>
    <s v="Sociedad de Mineria Nueva"/>
    <x v="4"/>
    <x v="0"/>
    <s v="Ringo"/>
    <n v="101941"/>
    <n v="25"/>
    <x v="1"/>
    <x v="39"/>
    <n v="4077.64"/>
    <s v="Media"/>
  </r>
  <r>
    <x v="2"/>
    <s v="Peru"/>
    <s v="CLINICA INTERNACIONAL S.A."/>
    <x v="1"/>
    <x v="1"/>
    <s v="John"/>
    <n v="187411"/>
    <n v="32"/>
    <x v="4"/>
    <x v="35"/>
    <n v="5856.59375"/>
    <s v="Media"/>
  </r>
  <r>
    <x v="2"/>
    <s v="Peru"/>
    <s v="Minera Hatun Exitokuna"/>
    <x v="7"/>
    <x v="0"/>
    <s v="John"/>
    <n v="66248"/>
    <n v="31"/>
    <x v="3"/>
    <x v="35"/>
    <n v="2137.0322580000002"/>
    <s v="Bajo"/>
  </r>
  <r>
    <x v="2"/>
    <s v="Peru"/>
    <s v="Minera Hatun Exitokuna"/>
    <x v="7"/>
    <x v="0"/>
    <s v="John"/>
    <n v="85849"/>
    <n v="39"/>
    <x v="2"/>
    <x v="35"/>
    <n v="2201.25641"/>
    <s v="Bajo"/>
  </r>
  <r>
    <x v="2"/>
    <s v="Peru"/>
    <s v="Banco Egipcio Nacional"/>
    <x v="5"/>
    <x v="1"/>
    <s v="Paul"/>
    <n v="115067"/>
    <n v="20"/>
    <x v="0"/>
    <x v="35"/>
    <n v="5753.35"/>
    <s v="Media"/>
  </r>
  <r>
    <x v="2"/>
    <s v="Peru"/>
    <s v="Banco Egipcio Nacional"/>
    <x v="8"/>
    <x v="1"/>
    <s v="Paul"/>
    <n v="160313"/>
    <n v="27"/>
    <x v="2"/>
    <x v="35"/>
    <n v="5937.5185190000002"/>
    <s v="Media"/>
  </r>
  <r>
    <x v="2"/>
    <s v="Peru"/>
    <s v="DROKASA PERU S.A."/>
    <x v="7"/>
    <x v="0"/>
    <s v="John"/>
    <n v="143127"/>
    <n v="27"/>
    <x v="1"/>
    <x v="45"/>
    <n v="5301"/>
    <s v="Media"/>
  </r>
  <r>
    <x v="2"/>
    <s v="Peru"/>
    <s v="JJC Contratistas"/>
    <x v="7"/>
    <x v="0"/>
    <s v="John"/>
    <n v="130705"/>
    <n v="36"/>
    <x v="4"/>
    <x v="45"/>
    <n v="3630.6944440000002"/>
    <s v="Media"/>
  </r>
  <r>
    <x v="2"/>
    <s v="Peru"/>
    <s v="Gloria"/>
    <x v="7"/>
    <x v="0"/>
    <s v="Ringo"/>
    <n v="63869"/>
    <n v="23"/>
    <x v="4"/>
    <x v="41"/>
    <n v="2776.913043"/>
    <s v="Bajo"/>
  </r>
  <r>
    <x v="2"/>
    <s v="Peru"/>
    <s v="Grupo Central"/>
    <x v="1"/>
    <x v="1"/>
    <s v="John"/>
    <n v="217999"/>
    <n v="20"/>
    <x v="0"/>
    <x v="35"/>
    <n v="10899.95"/>
    <s v="Alta"/>
  </r>
  <r>
    <x v="2"/>
    <s v="Peru"/>
    <s v="San Martin Inc"/>
    <x v="5"/>
    <x v="1"/>
    <s v="Ringo"/>
    <n v="112107"/>
    <n v="19"/>
    <x v="0"/>
    <x v="35"/>
    <n v="5900.3684210000001"/>
    <s v="Media"/>
  </r>
  <r>
    <x v="2"/>
    <s v="Peru"/>
    <s v="IFH Peru LTD"/>
    <x v="1"/>
    <x v="1"/>
    <s v="Ringo"/>
    <n v="172580"/>
    <n v="24"/>
    <x v="2"/>
    <x v="35"/>
    <n v="7190.8333329999996"/>
    <s v="Media"/>
  </r>
  <r>
    <x v="2"/>
    <s v="Peru"/>
    <s v="Neptunia, S.A."/>
    <x v="7"/>
    <x v="0"/>
    <s v="Ringo"/>
    <n v="189121"/>
    <n v="22"/>
    <x v="4"/>
    <x v="42"/>
    <n v="8596.4090909999995"/>
    <s v="Media"/>
  </r>
  <r>
    <x v="2"/>
    <s v="Peru"/>
    <s v="Tiendas Wang"/>
    <x v="4"/>
    <x v="0"/>
    <s v="Ringo"/>
    <n v="205308"/>
    <n v="36"/>
    <x v="0"/>
    <x v="35"/>
    <n v="5703"/>
    <s v="Alta"/>
  </r>
  <r>
    <x v="2"/>
    <s v="Peru"/>
    <s v="Banco Egipcio Nacional"/>
    <x v="5"/>
    <x v="1"/>
    <s v="Paul"/>
    <n v="100256"/>
    <n v="34"/>
    <x v="0"/>
    <x v="35"/>
    <n v="2948.7058820000002"/>
    <s v="Media"/>
  </r>
  <r>
    <x v="2"/>
    <s v="Peru"/>
    <s v="Hoteles Corp"/>
    <x v="5"/>
    <x v="1"/>
    <s v="Ringo"/>
    <n v="186159"/>
    <n v="31"/>
    <x v="0"/>
    <x v="36"/>
    <n v="6005.1290319999998"/>
    <s v="Media"/>
  </r>
  <r>
    <x v="2"/>
    <s v="Peru"/>
    <s v="TELCO Internacional"/>
    <x v="1"/>
    <x v="1"/>
    <s v="Ringo"/>
    <n v="212582"/>
    <n v="39"/>
    <x v="1"/>
    <x v="37"/>
    <n v="5450.8205129999997"/>
    <s v="Alta"/>
  </r>
  <r>
    <x v="2"/>
    <s v="Peru"/>
    <s v="IFH Peru LTD"/>
    <x v="1"/>
    <x v="1"/>
    <s v="Ringo"/>
    <n v="225327"/>
    <n v="20"/>
    <x v="2"/>
    <x v="35"/>
    <n v="11266.35"/>
    <s v="Alta"/>
  </r>
  <r>
    <x v="2"/>
    <s v="Peru"/>
    <s v="Tiendas Wang"/>
    <x v="4"/>
    <x v="0"/>
    <s v="Ringo"/>
    <n v="237728"/>
    <n v="24"/>
    <x v="0"/>
    <x v="35"/>
    <n v="9905.3333330000005"/>
    <s v="Alta"/>
  </r>
  <r>
    <x v="2"/>
    <s v="Peru"/>
    <s v="Tiendas Wang"/>
    <x v="4"/>
    <x v="0"/>
    <s v="Ringo"/>
    <n v="248799"/>
    <n v="37"/>
    <x v="0"/>
    <x v="35"/>
    <n v="6724.2972970000001"/>
    <s v="Alta"/>
  </r>
  <r>
    <x v="2"/>
    <s v="Peru"/>
    <s v="Tiendas Wang"/>
    <x v="4"/>
    <x v="0"/>
    <s v="Ringo"/>
    <n v="54839"/>
    <n v="24"/>
    <x v="0"/>
    <x v="35"/>
    <n v="2284.958333"/>
    <s v="Bajo"/>
  </r>
  <r>
    <x v="2"/>
    <s v="Peru"/>
    <s v="Grupo Central"/>
    <x v="1"/>
    <x v="1"/>
    <s v="John"/>
    <n v="74764"/>
    <n v="36"/>
    <x v="0"/>
    <x v="35"/>
    <n v="2076.7777780000001"/>
    <s v="Bajo"/>
  </r>
  <r>
    <x v="2"/>
    <s v="Peru"/>
    <s v="Minera Hatun Exitokuna"/>
    <x v="7"/>
    <x v="0"/>
    <s v="John"/>
    <n v="126342"/>
    <n v="30"/>
    <x v="0"/>
    <x v="35"/>
    <n v="4211.3999999999996"/>
    <s v="Media"/>
  </r>
  <r>
    <x v="2"/>
    <s v="Peru"/>
    <s v="Minera Hatun Exitokuna"/>
    <x v="7"/>
    <x v="0"/>
    <s v="John"/>
    <n v="88626"/>
    <n v="40"/>
    <x v="2"/>
    <x v="35"/>
    <n v="2215.65"/>
    <s v="Bajo"/>
  </r>
  <r>
    <x v="2"/>
    <s v="Peru"/>
    <s v="Banco Egipcio Nacional"/>
    <x v="5"/>
    <x v="1"/>
    <s v="Paul"/>
    <n v="105177"/>
    <n v="30"/>
    <x v="4"/>
    <x v="35"/>
    <n v="3505.9"/>
    <s v="Media"/>
  </r>
  <r>
    <x v="2"/>
    <s v="Peru"/>
    <s v="Banco Egipcio Nacional"/>
    <x v="8"/>
    <x v="1"/>
    <s v="Paul"/>
    <n v="68975"/>
    <n v="19"/>
    <x v="2"/>
    <x v="35"/>
    <n v="3630.2631580000002"/>
    <s v="Bajo"/>
  </r>
  <r>
    <x v="2"/>
    <s v="Peru"/>
    <s v="Banco Egipcio Nacional"/>
    <x v="8"/>
    <x v="1"/>
    <s v="Paul"/>
    <n v="74893"/>
    <n v="27"/>
    <x v="2"/>
    <x v="35"/>
    <n v="2773.8148150000002"/>
    <s v="Bajo"/>
  </r>
  <r>
    <x v="2"/>
    <s v="Peru"/>
    <s v="Banco Egipcio Nacional"/>
    <x v="8"/>
    <x v="1"/>
    <s v="Ringo"/>
    <n v="221558"/>
    <n v="23"/>
    <x v="2"/>
    <x v="35"/>
    <n v="9632.9565220000004"/>
    <s v="Alta"/>
  </r>
  <r>
    <x v="2"/>
    <s v="Peru"/>
    <s v="Banco Egipcio Nacional"/>
    <x v="8"/>
    <x v="1"/>
    <s v="Ringo"/>
    <n v="216010"/>
    <n v="18"/>
    <x v="3"/>
    <x v="35"/>
    <n v="12000.555560000001"/>
    <s v="Alta"/>
  </r>
  <r>
    <x v="2"/>
    <s v="Peru"/>
    <s v="Gloria"/>
    <x v="7"/>
    <x v="0"/>
    <s v="Ringo"/>
    <n v="196310"/>
    <n v="20"/>
    <x v="2"/>
    <x v="41"/>
    <n v="9815.5"/>
    <s v="Media"/>
  </r>
  <r>
    <x v="2"/>
    <s v="Peru"/>
    <s v="Sociedad de Mineria Nueva"/>
    <x v="4"/>
    <x v="0"/>
    <s v="Ringo"/>
    <n v="202612"/>
    <n v="30"/>
    <x v="4"/>
    <x v="41"/>
    <n v="6753.7333330000001"/>
    <s v="Alta"/>
  </r>
  <r>
    <x v="2"/>
    <s v="Peru"/>
    <s v="Neptunia, S.A."/>
    <x v="7"/>
    <x v="0"/>
    <s v="Ringo"/>
    <n v="175336"/>
    <n v="20"/>
    <x v="4"/>
    <x v="42"/>
    <n v="8766.7999999999993"/>
    <s v="Media"/>
  </r>
  <r>
    <x v="2"/>
    <s v="Peru"/>
    <s v="Tiendas Wang"/>
    <x v="4"/>
    <x v="0"/>
    <s v="Ringo"/>
    <n v="239186"/>
    <n v="36"/>
    <x v="2"/>
    <x v="35"/>
    <n v="6644.0555560000003"/>
    <s v="Alta"/>
  </r>
  <r>
    <x v="2"/>
    <s v="Peru"/>
    <s v="Tiendas Wang"/>
    <x v="4"/>
    <x v="0"/>
    <s v="Ringo"/>
    <n v="144214"/>
    <n v="32"/>
    <x v="2"/>
    <x v="35"/>
    <n v="4506.6875"/>
    <s v="Media"/>
  </r>
  <r>
    <x v="2"/>
    <s v="Peru"/>
    <s v="Minera Hatun Exitokuna"/>
    <x v="7"/>
    <x v="0"/>
    <s v="John"/>
    <n v="147718"/>
    <n v="20"/>
    <x v="3"/>
    <x v="35"/>
    <n v="7385.9"/>
    <s v="Media"/>
  </r>
  <r>
    <x v="2"/>
    <s v="Peru"/>
    <s v="Banco Egipcio Nacional"/>
    <x v="5"/>
    <x v="1"/>
    <s v="Paul"/>
    <n v="145824"/>
    <n v="24"/>
    <x v="0"/>
    <x v="35"/>
    <n v="6076"/>
    <s v="Media"/>
  </r>
  <r>
    <x v="2"/>
    <s v="Peru"/>
    <s v="Banco Egipcio Nacional"/>
    <x v="5"/>
    <x v="1"/>
    <s v="Paul"/>
    <n v="180434"/>
    <n v="37"/>
    <x v="4"/>
    <x v="35"/>
    <n v="4876.5945949999996"/>
    <s v="Media"/>
  </r>
  <r>
    <x v="3"/>
    <s v="Peru"/>
    <s v="Banco Egipcio Nacional"/>
    <x v="8"/>
    <x v="1"/>
    <s v="Paul"/>
    <n v="198973"/>
    <n v="17"/>
    <x v="2"/>
    <x v="35"/>
    <n v="11704.29412"/>
    <s v="Media"/>
  </r>
  <r>
    <x v="3"/>
    <s v="Peru"/>
    <s v="Banco Egipcio Nacional"/>
    <x v="8"/>
    <x v="1"/>
    <s v="Paul"/>
    <n v="137715"/>
    <n v="35"/>
    <x v="2"/>
    <x v="35"/>
    <n v="3934.7142859999999"/>
    <s v="Media"/>
  </r>
  <r>
    <x v="3"/>
    <s v="Peru"/>
    <s v="Hoteles Corp"/>
    <x v="5"/>
    <x v="1"/>
    <s v="Ringo"/>
    <n v="96022"/>
    <n v="15"/>
    <x v="0"/>
    <x v="36"/>
    <n v="6401.4666669999997"/>
    <s v="Bajo"/>
  </r>
  <r>
    <x v="3"/>
    <s v="Peru"/>
    <s v="San Martin Inc"/>
    <x v="5"/>
    <x v="1"/>
    <s v="Ringo"/>
    <n v="206455"/>
    <n v="24"/>
    <x v="2"/>
    <x v="35"/>
    <n v="8602.2916669999995"/>
    <s v="Alta"/>
  </r>
  <r>
    <x v="3"/>
    <s v="Peru"/>
    <s v="San Martin Inc"/>
    <x v="5"/>
    <x v="1"/>
    <s v="Ringo"/>
    <n v="197883"/>
    <n v="42"/>
    <x v="0"/>
    <x v="35"/>
    <n v="4711.5"/>
    <s v="Media"/>
  </r>
  <r>
    <x v="3"/>
    <s v="Peru"/>
    <s v="San Martin Inc"/>
    <x v="5"/>
    <x v="1"/>
    <s v="Ringo"/>
    <n v="132610"/>
    <n v="15"/>
    <x v="4"/>
    <x v="35"/>
    <n v="8840.6666669999995"/>
    <s v="Media"/>
  </r>
  <r>
    <x v="3"/>
    <s v="Peru"/>
    <s v="San Martin Inc"/>
    <x v="5"/>
    <x v="1"/>
    <s v="Ringo"/>
    <n v="83888"/>
    <n v="27"/>
    <x v="0"/>
    <x v="35"/>
    <n v="3106.9629629999999"/>
    <s v="Bajo"/>
  </r>
  <r>
    <x v="3"/>
    <s v="Peru"/>
    <s v="Grupo Central"/>
    <x v="1"/>
    <x v="1"/>
    <s v="John"/>
    <n v="129446"/>
    <n v="34"/>
    <x v="4"/>
    <x v="44"/>
    <n v="3807.2352940000001"/>
    <s v="Media"/>
  </r>
  <r>
    <x v="3"/>
    <s v="Peru"/>
    <s v="CROSLAND LOGISTICA"/>
    <x v="7"/>
    <x v="0"/>
    <s v="Ringo"/>
    <n v="125832"/>
    <n v="31"/>
    <x v="0"/>
    <x v="41"/>
    <n v="4059.0967740000001"/>
    <s v="Media"/>
  </r>
  <r>
    <x v="3"/>
    <s v="Peru"/>
    <s v="Ferrocarriles Centrales"/>
    <x v="7"/>
    <x v="0"/>
    <s v="John"/>
    <n v="211102"/>
    <n v="20"/>
    <x v="4"/>
    <x v="35"/>
    <n v="10555.1"/>
    <s v="Alta"/>
  </r>
  <r>
    <x v="3"/>
    <s v="Peru"/>
    <s v="LUCKY S.A.C."/>
    <x v="6"/>
    <x v="0"/>
    <s v="Ringo"/>
    <n v="239663"/>
    <n v="21"/>
    <x v="4"/>
    <x v="47"/>
    <n v="11412.523810000001"/>
    <s v="Alta"/>
  </r>
  <r>
    <x v="3"/>
    <s v="Peru"/>
    <s v="Tiendas Wang"/>
    <x v="4"/>
    <x v="0"/>
    <s v="Ringo"/>
    <n v="247680"/>
    <n v="33"/>
    <x v="2"/>
    <x v="35"/>
    <n v="7505.4545449999996"/>
    <s v="Alta"/>
  </r>
  <r>
    <x v="3"/>
    <s v="Peru"/>
    <s v="Banco Egipcio Nacional"/>
    <x v="5"/>
    <x v="1"/>
    <s v="Paul"/>
    <n v="102106"/>
    <n v="17"/>
    <x v="0"/>
    <x v="35"/>
    <n v="6006.2352940000001"/>
    <s v="Media"/>
  </r>
  <r>
    <x v="3"/>
    <s v="Peru"/>
    <s v="Banco Egipcio Nacional"/>
    <x v="5"/>
    <x v="1"/>
    <s v="Paul"/>
    <n v="125635"/>
    <n v="22"/>
    <x v="0"/>
    <x v="35"/>
    <n v="5710.681818"/>
    <s v="Media"/>
  </r>
  <r>
    <x v="3"/>
    <s v="Peru"/>
    <s v="JJC Contratistas"/>
    <x v="7"/>
    <x v="0"/>
    <s v="John"/>
    <n v="116106"/>
    <n v="33"/>
    <x v="4"/>
    <x v="48"/>
    <n v="3518.363636"/>
    <s v="Media"/>
  </r>
  <r>
    <x v="3"/>
    <s v="Peru"/>
    <s v="Hoteles Corp"/>
    <x v="5"/>
    <x v="1"/>
    <s v="Ringo"/>
    <n v="224521"/>
    <n v="21"/>
    <x v="2"/>
    <x v="36"/>
    <n v="10691.476189999999"/>
    <s v="Alta"/>
  </r>
  <r>
    <x v="3"/>
    <s v="Peru"/>
    <s v="NGRESTAURANTS"/>
    <x v="5"/>
    <x v="1"/>
    <s v="John"/>
    <n v="111663"/>
    <n v="40"/>
    <x v="4"/>
    <x v="44"/>
    <n v="2791.5749999999998"/>
    <s v="Media"/>
  </r>
  <r>
    <x v="3"/>
    <s v="Peru"/>
    <s v="Banco Egipcio Nacional"/>
    <x v="8"/>
    <x v="1"/>
    <s v="Ringo"/>
    <n v="150575"/>
    <n v="35"/>
    <x v="3"/>
    <x v="35"/>
    <n v="4302.1428569999998"/>
    <s v="Media"/>
  </r>
  <r>
    <x v="3"/>
    <s v="Peru"/>
    <s v="Tiendas Wang"/>
    <x v="4"/>
    <x v="0"/>
    <s v="Ringo"/>
    <n v="148445"/>
    <n v="41"/>
    <x v="2"/>
    <x v="35"/>
    <n v="3620.6097559999998"/>
    <s v="Media"/>
  </r>
  <r>
    <x v="3"/>
    <s v="Peru"/>
    <s v="Tiendas Wang"/>
    <x v="4"/>
    <x v="0"/>
    <s v="Ringo"/>
    <n v="209114"/>
    <n v="40"/>
    <x v="2"/>
    <x v="35"/>
    <n v="5227.8500000000004"/>
    <s v="Alta"/>
  </r>
  <r>
    <x v="3"/>
    <s v="Peru"/>
    <s v="Grupo Central"/>
    <x v="1"/>
    <x v="1"/>
    <s v="John"/>
    <n v="139313"/>
    <n v="29"/>
    <x v="2"/>
    <x v="35"/>
    <n v="4803.8965520000002"/>
    <s v="Media"/>
  </r>
  <r>
    <x v="3"/>
    <s v="Peru"/>
    <s v="Minera Hatun Exitokuna"/>
    <x v="7"/>
    <x v="0"/>
    <s v="John"/>
    <n v="245945"/>
    <n v="17"/>
    <x v="0"/>
    <x v="35"/>
    <n v="14467.352940000001"/>
    <s v="Alta"/>
  </r>
  <r>
    <x v="3"/>
    <s v="Peru"/>
    <s v="Banco Egipcio Nacional"/>
    <x v="5"/>
    <x v="1"/>
    <s v="Paul"/>
    <n v="118158"/>
    <n v="15"/>
    <x v="0"/>
    <x v="35"/>
    <n v="7877.2"/>
    <s v="Media"/>
  </r>
  <r>
    <x v="3"/>
    <s v="Peru"/>
    <s v="Lima Airport Partner"/>
    <x v="7"/>
    <x v="0"/>
    <s v="Ringo"/>
    <n v="175447"/>
    <n v="42"/>
    <x v="2"/>
    <x v="48"/>
    <n v="4177.3095240000002"/>
    <s v="Media"/>
  </r>
  <r>
    <x v="3"/>
    <s v="Peru"/>
    <s v="Minera de Cobre Supremo"/>
    <x v="1"/>
    <x v="1"/>
    <s v="John"/>
    <n v="174086"/>
    <n v="22"/>
    <x v="4"/>
    <x v="49"/>
    <n v="7913"/>
    <s v="Media"/>
  </r>
  <r>
    <x v="3"/>
    <s v="Peru"/>
    <s v="Maquillajes Unidos"/>
    <x v="1"/>
    <x v="1"/>
    <s v="Ringo"/>
    <n v="70653"/>
    <n v="38"/>
    <x v="4"/>
    <x v="38"/>
    <n v="1859.2894739999999"/>
    <s v="Bajo"/>
  </r>
  <r>
    <x v="3"/>
    <s v="Peru"/>
    <s v="Tiendas Wang"/>
    <x v="4"/>
    <x v="0"/>
    <s v="Ringo"/>
    <n v="85203"/>
    <n v="31"/>
    <x v="0"/>
    <x v="35"/>
    <n v="2748.4838709999999"/>
    <s v="Bajo"/>
  </r>
  <r>
    <x v="3"/>
    <s v="Peru"/>
    <s v="Tiendas Wang"/>
    <x v="4"/>
    <x v="0"/>
    <s v="Ringo"/>
    <n v="248288"/>
    <n v="17"/>
    <x v="0"/>
    <x v="35"/>
    <n v="14605.17647"/>
    <s v="Alta"/>
  </r>
  <r>
    <x v="3"/>
    <s v="Peru"/>
    <s v="Grupo Central"/>
    <x v="1"/>
    <x v="1"/>
    <s v="John"/>
    <n v="185106"/>
    <n v="29"/>
    <x v="0"/>
    <x v="35"/>
    <n v="6382.9655169999996"/>
    <s v="Media"/>
  </r>
  <r>
    <x v="4"/>
    <s v="Peru"/>
    <s v="Minera Hatun Exitokuna"/>
    <x v="7"/>
    <x v="0"/>
    <s v="John"/>
    <n v="98751"/>
    <n v="35"/>
    <x v="0"/>
    <x v="35"/>
    <n v="2821.4571430000001"/>
    <s v="Bajo"/>
  </r>
  <r>
    <x v="4"/>
    <s v="Peru"/>
    <s v="Minera Hatun Exitokuna"/>
    <x v="7"/>
    <x v="0"/>
    <s v="John"/>
    <n v="182420"/>
    <n v="38"/>
    <x v="0"/>
    <x v="35"/>
    <n v="4800.5263160000004"/>
    <s v="Media"/>
  </r>
  <r>
    <x v="4"/>
    <s v="Peru"/>
    <s v="Banco Egipcio Nacional"/>
    <x v="5"/>
    <x v="1"/>
    <s v="Paul"/>
    <n v="125495"/>
    <n v="18"/>
    <x v="0"/>
    <x v="35"/>
    <n v="6971.9444439999997"/>
    <s v="Media"/>
  </r>
  <r>
    <x v="4"/>
    <s v="Peru"/>
    <s v="Banco Egipcio Nacional"/>
    <x v="5"/>
    <x v="1"/>
    <s v="Paul"/>
    <n v="126327"/>
    <n v="40"/>
    <x v="0"/>
    <x v="35"/>
    <n v="3158.1750000000002"/>
    <s v="Media"/>
  </r>
  <r>
    <x v="4"/>
    <s v="Peru"/>
    <s v="Banco Egipcio Nacional"/>
    <x v="5"/>
    <x v="1"/>
    <s v="Paul"/>
    <n v="86725"/>
    <n v="39"/>
    <x v="0"/>
    <x v="35"/>
    <n v="2223.7179489999999"/>
    <s v="Bajo"/>
  </r>
  <r>
    <x v="4"/>
    <s v="Peru"/>
    <s v="Servicios Generales"/>
    <x v="5"/>
    <x v="1"/>
    <s v="George"/>
    <n v="113258"/>
    <n v="17"/>
    <x v="4"/>
    <x v="38"/>
    <n v="6662.2352940000001"/>
    <s v="Media"/>
  </r>
  <r>
    <x v="4"/>
    <s v="Peru"/>
    <s v="Banco Egipcio Nacional"/>
    <x v="8"/>
    <x v="1"/>
    <s v="Ringo"/>
    <n v="103229"/>
    <n v="34"/>
    <x v="2"/>
    <x v="35"/>
    <n v="3036.1470589999999"/>
    <s v="Media"/>
  </r>
  <r>
    <x v="4"/>
    <s v="Peru"/>
    <s v="CROSLAND LOGISTICA"/>
    <x v="7"/>
    <x v="0"/>
    <s v="Ringo"/>
    <n v="75000"/>
    <n v="34"/>
    <x v="0"/>
    <x v="41"/>
    <n v="2205.882353"/>
    <s v="Bajo"/>
  </r>
  <r>
    <x v="4"/>
    <s v="Peru"/>
    <s v="Ferrocarriles Centrales"/>
    <x v="7"/>
    <x v="0"/>
    <s v="John"/>
    <n v="171136"/>
    <n v="28"/>
    <x v="0"/>
    <x v="35"/>
    <n v="6112"/>
    <s v="Media"/>
  </r>
  <r>
    <x v="4"/>
    <s v="Peru"/>
    <s v="Minera de Cobre Supremo"/>
    <x v="1"/>
    <x v="1"/>
    <s v="John"/>
    <n v="82065"/>
    <n v="37"/>
    <x v="0"/>
    <x v="49"/>
    <n v="2217.9729729999999"/>
    <s v="Bajo"/>
  </r>
  <r>
    <x v="4"/>
    <s v="Peru"/>
    <s v="Americana de Contactos"/>
    <x v="1"/>
    <x v="1"/>
    <s v="George"/>
    <n v="153126"/>
    <n v="32"/>
    <x v="2"/>
    <x v="45"/>
    <n v="4785.1875"/>
    <s v="Media"/>
  </r>
  <r>
    <x v="4"/>
    <s v="Peru"/>
    <s v="Tiendas Wang"/>
    <x v="4"/>
    <x v="0"/>
    <s v="Ringo"/>
    <n v="231400"/>
    <n v="34"/>
    <x v="0"/>
    <x v="35"/>
    <n v="6805.882353"/>
    <s v="Alta"/>
  </r>
  <r>
    <x v="4"/>
    <s v="Peru"/>
    <s v="Tiendas Wang"/>
    <x v="4"/>
    <x v="0"/>
    <s v="Ringo"/>
    <n v="224684"/>
    <n v="38"/>
    <x v="0"/>
    <x v="35"/>
    <n v="5912.7368420000003"/>
    <s v="Alta"/>
  </r>
  <r>
    <x v="4"/>
    <s v="Peru"/>
    <s v="Banco Egipcio Nacional"/>
    <x v="5"/>
    <x v="1"/>
    <s v="Paul"/>
    <n v="219831"/>
    <n v="28"/>
    <x v="0"/>
    <x v="35"/>
    <n v="7851.1071430000002"/>
    <s v="Alta"/>
  </r>
  <r>
    <x v="4"/>
    <s v="Peru"/>
    <s v="Banco Egipcio Nacional"/>
    <x v="5"/>
    <x v="1"/>
    <s v="Paul"/>
    <n v="66563"/>
    <n v="17"/>
    <x v="4"/>
    <x v="35"/>
    <n v="3915.4705880000001"/>
    <s v="Bajo"/>
  </r>
  <r>
    <x v="4"/>
    <s v="Peru"/>
    <s v="Banco Egipcio Nacional"/>
    <x v="5"/>
    <x v="1"/>
    <s v="Paul"/>
    <n v="235887"/>
    <n v="33"/>
    <x v="4"/>
    <x v="35"/>
    <n v="7148.0909089999996"/>
    <s v="Alta"/>
  </r>
  <r>
    <x v="4"/>
    <s v="Peru"/>
    <s v="Minera Hatun Exitokuna"/>
    <x v="4"/>
    <x v="0"/>
    <s v="Ringo"/>
    <n v="150988"/>
    <n v="27"/>
    <x v="4"/>
    <x v="41"/>
    <n v="5592.1481480000002"/>
    <s v="Media"/>
  </r>
  <r>
    <x v="4"/>
    <s v="Peru"/>
    <s v="SIERRA MACHINES S.A.C."/>
    <x v="4"/>
    <x v="0"/>
    <s v="Ringo"/>
    <n v="200255"/>
    <n v="28"/>
    <x v="3"/>
    <x v="38"/>
    <n v="7151.9642860000004"/>
    <s v="Alta"/>
  </r>
  <r>
    <x v="4"/>
    <s v="Peru"/>
    <s v="Ferrocarriles Centrales"/>
    <x v="7"/>
    <x v="0"/>
    <s v="John"/>
    <n v="118900"/>
    <n v="22"/>
    <x v="0"/>
    <x v="35"/>
    <n v="5404.5454550000004"/>
    <s v="Media"/>
  </r>
  <r>
    <x v="4"/>
    <s v="Peru"/>
    <s v="Americana de Contactos"/>
    <x v="1"/>
    <x v="1"/>
    <s v="George"/>
    <n v="71730"/>
    <n v="36"/>
    <x v="0"/>
    <x v="45"/>
    <n v="1992.5"/>
    <s v="Bajo"/>
  </r>
  <r>
    <x v="4"/>
    <s v="Peru"/>
    <s v="Minera Hatun Exitokuna"/>
    <x v="7"/>
    <x v="0"/>
    <s v="John"/>
    <n v="104555"/>
    <n v="27"/>
    <x v="0"/>
    <x v="35"/>
    <n v="3872.4074070000001"/>
    <s v="Media"/>
  </r>
  <r>
    <x v="4"/>
    <s v="Peru"/>
    <s v="Banco Egipcio Nacional"/>
    <x v="5"/>
    <x v="1"/>
    <s v="Paul"/>
    <n v="75775"/>
    <n v="20"/>
    <x v="3"/>
    <x v="35"/>
    <n v="3788.75"/>
    <s v="Bajo"/>
  </r>
  <r>
    <x v="4"/>
    <s v="Peru"/>
    <s v="Banco Egipcio Nacional"/>
    <x v="8"/>
    <x v="1"/>
    <s v="Paul"/>
    <n v="140675"/>
    <n v="22"/>
    <x v="0"/>
    <x v="35"/>
    <n v="6394.318182"/>
    <s v="Media"/>
  </r>
  <r>
    <x v="4"/>
    <s v="Peru"/>
    <s v="Unique, S.A."/>
    <x v="5"/>
    <x v="1"/>
    <s v="Ringo"/>
    <n v="208659"/>
    <n v="28"/>
    <x v="1"/>
    <x v="49"/>
    <n v="7452.1071430000002"/>
    <s v="Alta"/>
  </r>
  <r>
    <x v="4"/>
    <s v="Peru"/>
    <s v="San Martin Inc"/>
    <x v="5"/>
    <x v="1"/>
    <s v="Ringo"/>
    <n v="106754"/>
    <n v="38"/>
    <x v="4"/>
    <x v="35"/>
    <n v="2809.3157890000002"/>
    <s v="Media"/>
  </r>
  <r>
    <x v="4"/>
    <s v="Peru"/>
    <s v="Tiendas Wang"/>
    <x v="4"/>
    <x v="0"/>
    <s v="Ringo"/>
    <n v="245753"/>
    <n v="35"/>
    <x v="0"/>
    <x v="35"/>
    <n v="7021.5142859999996"/>
    <s v="Alta"/>
  </r>
  <r>
    <x v="4"/>
    <s v="Peru"/>
    <s v="CLINICA INTERNACIONAL S.A."/>
    <x v="1"/>
    <x v="1"/>
    <s v="John"/>
    <n v="245158"/>
    <n v="24"/>
    <x v="0"/>
    <x v="35"/>
    <n v="10214.916670000001"/>
    <s v="Alta"/>
  </r>
  <r>
    <x v="4"/>
    <s v="Peru"/>
    <s v="Minera Hatun Exitokuna"/>
    <x v="7"/>
    <x v="0"/>
    <s v="John"/>
    <n v="53581"/>
    <n v="29"/>
    <x v="3"/>
    <x v="35"/>
    <n v="1847.62069"/>
    <s v="Bajo"/>
  </r>
  <r>
    <x v="4"/>
    <s v="Peru"/>
    <s v="Minera Hatun Exitokuna"/>
    <x v="7"/>
    <x v="0"/>
    <s v="John"/>
    <n v="221642"/>
    <n v="33"/>
    <x v="0"/>
    <x v="35"/>
    <n v="6716.424242"/>
    <s v="Alta"/>
  </r>
  <r>
    <x v="4"/>
    <s v="Peru"/>
    <s v="Hoteles Corp"/>
    <x v="5"/>
    <x v="1"/>
    <s v="Ringo"/>
    <n v="104596"/>
    <n v="16"/>
    <x v="2"/>
    <x v="36"/>
    <n v="6537.25"/>
    <s v="Media"/>
  </r>
  <r>
    <x v="4"/>
    <s v="Peru"/>
    <s v="Hoteles Corp"/>
    <x v="5"/>
    <x v="1"/>
    <s v="Ringo"/>
    <n v="151243"/>
    <n v="18"/>
    <x v="2"/>
    <x v="36"/>
    <n v="8402.3888889999998"/>
    <s v="Media"/>
  </r>
  <r>
    <x v="4"/>
    <s v="Peru"/>
    <s v="Unique, S.A."/>
    <x v="5"/>
    <x v="1"/>
    <s v="Ringo"/>
    <n v="234289"/>
    <n v="31"/>
    <x v="1"/>
    <x v="50"/>
    <n v="7557.7096769999998"/>
    <s v="Alta"/>
  </r>
  <r>
    <x v="4"/>
    <s v="Peru"/>
    <s v="Ferrocarriles Centrales"/>
    <x v="1"/>
    <x v="1"/>
    <s v="John"/>
    <n v="206768"/>
    <n v="25"/>
    <x v="1"/>
    <x v="35"/>
    <n v="8270.7199999999993"/>
    <s v="Alta"/>
  </r>
  <r>
    <x v="4"/>
    <s v="Peru"/>
    <s v="SIERRA MACHINES S.A.C."/>
    <x v="4"/>
    <x v="0"/>
    <s v="Ringo"/>
    <n v="174640"/>
    <n v="39"/>
    <x v="2"/>
    <x v="38"/>
    <n v="4477.9487179999996"/>
    <s v="Media"/>
  </r>
  <r>
    <x v="4"/>
    <s v="Peru"/>
    <s v="INMOBILIARI S.A."/>
    <x v="7"/>
    <x v="0"/>
    <s v="Ringo"/>
    <n v="141749"/>
    <n v="37"/>
    <x v="3"/>
    <x v="43"/>
    <n v="3831.0540540000002"/>
    <s v="Media"/>
  </r>
  <r>
    <x v="4"/>
    <s v="Peru"/>
    <s v="IFH Peru LTD"/>
    <x v="1"/>
    <x v="1"/>
    <s v="Ringo"/>
    <n v="228711"/>
    <n v="22"/>
    <x v="2"/>
    <x v="35"/>
    <n v="10395.95455"/>
    <s v="Alta"/>
  </r>
  <r>
    <x v="4"/>
    <s v="Peru"/>
    <s v="Ferrocarriles Centrales"/>
    <x v="7"/>
    <x v="0"/>
    <s v="Ringo"/>
    <n v="60934"/>
    <n v="31"/>
    <x v="0"/>
    <x v="35"/>
    <n v="1965.612903"/>
    <s v="Bajo"/>
  </r>
  <r>
    <x v="4"/>
    <s v="Peru"/>
    <s v="Tiendas Wang"/>
    <x v="4"/>
    <x v="0"/>
    <s v="Ringo"/>
    <n v="128909"/>
    <n v="29"/>
    <x v="4"/>
    <x v="35"/>
    <n v="4445.1379310000002"/>
    <s v="Media"/>
  </r>
  <r>
    <x v="4"/>
    <s v="Peru"/>
    <s v="Tiendas Wang"/>
    <x v="4"/>
    <x v="0"/>
    <s v="Ringo"/>
    <n v="202750"/>
    <n v="38"/>
    <x v="4"/>
    <x v="35"/>
    <n v="5335.5263160000004"/>
    <s v="Alta"/>
  </r>
  <r>
    <x v="4"/>
    <s v="Peru"/>
    <s v="Banco Egipcio Nacional"/>
    <x v="5"/>
    <x v="1"/>
    <s v="Paul"/>
    <n v="229554"/>
    <n v="35"/>
    <x v="4"/>
    <x v="35"/>
    <n v="6558.6857140000002"/>
    <s v="Alta"/>
  </r>
  <r>
    <x v="4"/>
    <s v="Peru"/>
    <s v="Periodicos Nuevos"/>
    <x v="7"/>
    <x v="0"/>
    <s v="John"/>
    <n v="153522"/>
    <n v="23"/>
    <x v="2"/>
    <x v="51"/>
    <n v="6674.869565"/>
    <s v="Media"/>
  </r>
  <r>
    <x v="5"/>
    <s v="Peru"/>
    <s v="Tractores Unidos"/>
    <x v="0"/>
    <x v="0"/>
    <s v="John"/>
    <n v="64470"/>
    <n v="33"/>
    <x v="0"/>
    <x v="52"/>
    <n v="1953.636364"/>
    <s v="Bajo"/>
  </r>
  <r>
    <x v="5"/>
    <s v="Peru"/>
    <s v="Transportes CPGQ"/>
    <x v="0"/>
    <x v="0"/>
    <s v="Ringo"/>
    <n v="103417"/>
    <n v="23"/>
    <x v="2"/>
    <x v="52"/>
    <n v="4496.3913039999998"/>
    <s v="Media"/>
  </r>
  <r>
    <x v="6"/>
    <s v="Peru"/>
    <s v="Tractores Unidos"/>
    <x v="0"/>
    <x v="0"/>
    <s v="John"/>
    <n v="246778"/>
    <n v="25"/>
    <x v="0"/>
    <x v="52"/>
    <n v="9871.1200000000008"/>
    <s v="Alta"/>
  </r>
  <r>
    <x v="6"/>
    <s v="Peru"/>
    <s v="Tractores Unidos"/>
    <x v="0"/>
    <x v="0"/>
    <s v="John"/>
    <n v="97611"/>
    <n v="32"/>
    <x v="0"/>
    <x v="52"/>
    <n v="3050.34375"/>
    <s v="Bajo"/>
  </r>
  <r>
    <x v="0"/>
    <s v="Peru"/>
    <s v="Tractores Unidos"/>
    <x v="0"/>
    <x v="0"/>
    <s v="John"/>
    <n v="87307"/>
    <n v="34"/>
    <x v="0"/>
    <x v="52"/>
    <n v="2567.8529410000001"/>
    <s v="Bajo"/>
  </r>
  <r>
    <x v="0"/>
    <s v="Peru"/>
    <s v="Americana de Contactos"/>
    <x v="1"/>
    <x v="1"/>
    <s v="Ringo"/>
    <n v="198264"/>
    <n v="29"/>
    <x v="4"/>
    <x v="53"/>
    <n v="6836.6896550000001"/>
    <s v="Media"/>
  </r>
  <r>
    <x v="7"/>
    <s v="Peru"/>
    <s v="Transportes CPGQ"/>
    <x v="0"/>
    <x v="0"/>
    <s v="Ringo"/>
    <n v="223252"/>
    <n v="28"/>
    <x v="0"/>
    <x v="52"/>
    <n v="7973.2857139999996"/>
    <s v="Alta"/>
  </r>
  <r>
    <x v="7"/>
    <s v="Peru"/>
    <s v="Ferrocarriles Centrales"/>
    <x v="1"/>
    <x v="1"/>
    <s v="John"/>
    <n v="67981"/>
    <n v="29"/>
    <x v="4"/>
    <x v="53"/>
    <n v="2344.1724140000001"/>
    <s v="Bajo"/>
  </r>
  <r>
    <x v="7"/>
    <s v="Peru"/>
    <s v="Tractores Unidos"/>
    <x v="0"/>
    <x v="0"/>
    <s v="John"/>
    <n v="190313"/>
    <n v="39"/>
    <x v="0"/>
    <x v="52"/>
    <n v="4879.8205129999997"/>
    <s v="Media"/>
  </r>
  <r>
    <x v="7"/>
    <s v="Peru"/>
    <s v="IFH Peru LTD"/>
    <x v="1"/>
    <x v="1"/>
    <s v="Ringo"/>
    <n v="86941"/>
    <n v="38"/>
    <x v="1"/>
    <x v="54"/>
    <n v="2287.921053"/>
    <s v="Bajo"/>
  </r>
  <r>
    <x v="7"/>
    <s v="Peru"/>
    <s v="Transportes CPGQ"/>
    <x v="0"/>
    <x v="0"/>
    <s v="Ringo"/>
    <n v="212428"/>
    <n v="24"/>
    <x v="2"/>
    <x v="52"/>
    <n v="8851.1666669999995"/>
    <s v="Alta"/>
  </r>
  <r>
    <x v="7"/>
    <s v="Peru"/>
    <s v="Transportes CPGQ"/>
    <x v="0"/>
    <x v="0"/>
    <s v="Ringo"/>
    <n v="117311"/>
    <n v="32"/>
    <x v="0"/>
    <x v="52"/>
    <n v="3665.96875"/>
    <s v="Media"/>
  </r>
  <r>
    <x v="7"/>
    <s v="Peru"/>
    <s v="FORZA S.A."/>
    <x v="0"/>
    <x v="0"/>
    <s v="Ringo"/>
    <n v="110235"/>
    <n v="21"/>
    <x v="0"/>
    <x v="52"/>
    <n v="5249.2857139999996"/>
    <s v="Media"/>
  </r>
  <r>
    <x v="7"/>
    <s v="Peru"/>
    <s v="Transportes CPGQ"/>
    <x v="0"/>
    <x v="0"/>
    <s v="Ringo"/>
    <n v="69039"/>
    <n v="34"/>
    <x v="0"/>
    <x v="52"/>
    <n v="2030.558824"/>
    <s v="Bajo"/>
  </r>
  <r>
    <x v="7"/>
    <s v="Peru"/>
    <s v="Transportes CPGQ"/>
    <x v="0"/>
    <x v="0"/>
    <s v="Ringo"/>
    <n v="232708"/>
    <n v="35"/>
    <x v="4"/>
    <x v="52"/>
    <n v="6648.8"/>
    <s v="Alta"/>
  </r>
  <r>
    <x v="7"/>
    <s v="Peru"/>
    <s v="Banco Interno"/>
    <x v="1"/>
    <x v="1"/>
    <s v="Ringo"/>
    <n v="92420"/>
    <n v="29"/>
    <x v="1"/>
    <x v="55"/>
    <n v="3186.8965520000002"/>
    <s v="Bajo"/>
  </r>
  <r>
    <x v="7"/>
    <s v="Peru"/>
    <s v="Transportes CPGQ"/>
    <x v="0"/>
    <x v="0"/>
    <s v="Ringo"/>
    <n v="232480"/>
    <n v="42"/>
    <x v="0"/>
    <x v="52"/>
    <n v="5535.2380949999997"/>
    <s v="Alta"/>
  </r>
  <r>
    <x v="1"/>
    <s v="Peru"/>
    <s v="CLINICA INTERNACIONAL S.A."/>
    <x v="1"/>
    <x v="1"/>
    <s v="John"/>
    <n v="220375"/>
    <n v="34"/>
    <x v="0"/>
    <x v="53"/>
    <n v="6481.617647"/>
    <s v="Alta"/>
  </r>
  <r>
    <x v="1"/>
    <s v="Peru"/>
    <s v="Tractores Unidos"/>
    <x v="0"/>
    <x v="0"/>
    <s v="John"/>
    <n v="230137"/>
    <n v="20"/>
    <x v="2"/>
    <x v="52"/>
    <n v="11506.85"/>
    <s v="Alta"/>
  </r>
  <r>
    <x v="1"/>
    <s v="Peru"/>
    <s v="Transportes CPGQ"/>
    <x v="0"/>
    <x v="0"/>
    <s v="Ringo"/>
    <n v="79736"/>
    <n v="27"/>
    <x v="3"/>
    <x v="52"/>
    <n v="2953.1851849999998"/>
    <s v="Bajo"/>
  </r>
  <r>
    <x v="1"/>
    <s v="Peru"/>
    <s v="Ferrocarriles Centrales"/>
    <x v="1"/>
    <x v="1"/>
    <s v="John"/>
    <n v="240803"/>
    <n v="18"/>
    <x v="4"/>
    <x v="53"/>
    <n v="13377.944439999999"/>
    <s v="Alta"/>
  </r>
  <r>
    <x v="1"/>
    <s v="Peru"/>
    <s v="Banco Inca"/>
    <x v="1"/>
    <x v="1"/>
    <s v="Ringo"/>
    <n v="109108"/>
    <n v="19"/>
    <x v="4"/>
    <x v="56"/>
    <n v="5742.5263160000004"/>
    <s v="Media"/>
  </r>
  <r>
    <x v="1"/>
    <s v="Peru"/>
    <s v="Tractores Unidos"/>
    <x v="0"/>
    <x v="0"/>
    <s v="John"/>
    <n v="137267"/>
    <n v="40"/>
    <x v="0"/>
    <x v="52"/>
    <n v="3431.6750000000002"/>
    <s v="Media"/>
  </r>
  <r>
    <x v="1"/>
    <s v="Peru"/>
    <s v="Transportes CPGQ"/>
    <x v="0"/>
    <x v="0"/>
    <s v="Ringo"/>
    <n v="84325"/>
    <n v="21"/>
    <x v="2"/>
    <x v="52"/>
    <n v="4015.4761899999999"/>
    <s v="Bajo"/>
  </r>
  <r>
    <x v="1"/>
    <s v="Peru"/>
    <s v="Unique, S.A."/>
    <x v="1"/>
    <x v="1"/>
    <s v="Ringo"/>
    <n v="179250"/>
    <n v="23"/>
    <x v="1"/>
    <x v="57"/>
    <n v="7793.4782610000002"/>
    <s v="Media"/>
  </r>
  <r>
    <x v="1"/>
    <s v="Peru"/>
    <s v="Tractores Unidos"/>
    <x v="0"/>
    <x v="0"/>
    <s v="John"/>
    <n v="151335"/>
    <n v="16"/>
    <x v="4"/>
    <x v="52"/>
    <n v="9458.4375"/>
    <s v="Media"/>
  </r>
  <r>
    <x v="1"/>
    <s v="Peru"/>
    <s v="Tractores Unidos"/>
    <x v="0"/>
    <x v="0"/>
    <s v="John"/>
    <n v="53918"/>
    <n v="32"/>
    <x v="3"/>
    <x v="52"/>
    <n v="1684.9375"/>
    <s v="Bajo"/>
  </r>
  <r>
    <x v="1"/>
    <s v="Peru"/>
    <s v="Transportes CPGQ"/>
    <x v="0"/>
    <x v="0"/>
    <s v="Ringo"/>
    <n v="230011"/>
    <n v="39"/>
    <x v="0"/>
    <x v="52"/>
    <n v="5897.7179489999999"/>
    <s v="Alta"/>
  </r>
  <r>
    <x v="1"/>
    <s v="Peru"/>
    <s v="Tractores Unidos"/>
    <x v="0"/>
    <x v="0"/>
    <s v="John"/>
    <n v="93244"/>
    <n v="33"/>
    <x v="0"/>
    <x v="52"/>
    <n v="2825.575758"/>
    <s v="Bajo"/>
  </r>
  <r>
    <x v="1"/>
    <s v="Peru"/>
    <s v="Tractores Unidos"/>
    <x v="0"/>
    <x v="0"/>
    <s v="John"/>
    <n v="207045"/>
    <n v="24"/>
    <x v="2"/>
    <x v="52"/>
    <n v="8626.875"/>
    <s v="Alta"/>
  </r>
  <r>
    <x v="1"/>
    <s v="Peru"/>
    <s v="Transportes CPGQ"/>
    <x v="0"/>
    <x v="0"/>
    <s v="Ringo"/>
    <n v="229982"/>
    <n v="42"/>
    <x v="2"/>
    <x v="52"/>
    <n v="5475.7619050000003"/>
    <s v="Alta"/>
  </r>
  <r>
    <x v="1"/>
    <s v="Peru"/>
    <s v="Transportes CPGQ"/>
    <x v="0"/>
    <x v="0"/>
    <s v="Ringo"/>
    <n v="91418"/>
    <n v="26"/>
    <x v="0"/>
    <x v="52"/>
    <n v="3516.0769230000001"/>
    <s v="Bajo"/>
  </r>
  <r>
    <x v="1"/>
    <s v="Peru"/>
    <s v="Transportes CPGQ"/>
    <x v="0"/>
    <x v="0"/>
    <s v="Ringo"/>
    <n v="109295"/>
    <n v="25"/>
    <x v="0"/>
    <x v="52"/>
    <n v="4371.8"/>
    <s v="Media"/>
  </r>
  <r>
    <x v="1"/>
    <s v="Peru"/>
    <s v="Transportes CPGQ"/>
    <x v="0"/>
    <x v="0"/>
    <s v="Ringo"/>
    <n v="175214"/>
    <n v="34"/>
    <x v="4"/>
    <x v="52"/>
    <n v="5153.3529410000001"/>
    <s v="Media"/>
  </r>
  <r>
    <x v="1"/>
    <s v="Peru"/>
    <s v="Transportes CPGQ"/>
    <x v="0"/>
    <x v="0"/>
    <s v="Ringo"/>
    <n v="227601"/>
    <n v="21"/>
    <x v="0"/>
    <x v="52"/>
    <n v="10838.14286"/>
    <s v="Alta"/>
  </r>
  <r>
    <x v="2"/>
    <s v="Peru"/>
    <s v="Tractores Unidos"/>
    <x v="0"/>
    <x v="0"/>
    <s v="John"/>
    <n v="152397"/>
    <n v="23"/>
    <x v="2"/>
    <x v="52"/>
    <n v="6625.9565220000004"/>
    <s v="Media"/>
  </r>
  <r>
    <x v="2"/>
    <s v="Peru"/>
    <s v="Tractores Unidos"/>
    <x v="0"/>
    <x v="0"/>
    <s v="John"/>
    <n v="55680"/>
    <n v="38"/>
    <x v="2"/>
    <x v="52"/>
    <n v="1465.263158"/>
    <s v="Bajo"/>
  </r>
  <r>
    <x v="2"/>
    <s v="Peru"/>
    <s v="Transportes CPGQ"/>
    <x v="0"/>
    <x v="0"/>
    <s v="Ringo"/>
    <n v="59189"/>
    <n v="19"/>
    <x v="0"/>
    <x v="52"/>
    <n v="3115.2105259999998"/>
    <s v="Bajo"/>
  </r>
  <r>
    <x v="2"/>
    <s v="Peru"/>
    <s v="FORZA S.A."/>
    <x v="0"/>
    <x v="0"/>
    <s v="Ringo"/>
    <n v="209422"/>
    <n v="16"/>
    <x v="0"/>
    <x v="52"/>
    <n v="13088.875"/>
    <s v="Alta"/>
  </r>
  <r>
    <x v="3"/>
    <s v="Peru"/>
    <s v="Tractores Unidos"/>
    <x v="0"/>
    <x v="0"/>
    <s v="John"/>
    <n v="53978"/>
    <n v="19"/>
    <x v="0"/>
    <x v="52"/>
    <n v="2840.9473680000001"/>
    <s v="Bajo"/>
  </r>
  <r>
    <x v="3"/>
    <s v="Peru"/>
    <s v="Transportes CPGQ"/>
    <x v="0"/>
    <x v="0"/>
    <s v="Ringo"/>
    <n v="197094"/>
    <n v="29"/>
    <x v="0"/>
    <x v="52"/>
    <n v="6796.3448280000002"/>
    <s v="Media"/>
  </r>
  <r>
    <x v="3"/>
    <s v="Peru"/>
    <s v="Banco Inca"/>
    <x v="1"/>
    <x v="1"/>
    <s v="Ringo"/>
    <n v="154972"/>
    <n v="26"/>
    <x v="4"/>
    <x v="53"/>
    <n v="5960.4615379999996"/>
    <s v="Media"/>
  </r>
  <r>
    <x v="3"/>
    <s v="Peru"/>
    <s v="Transportes CPGQ"/>
    <x v="0"/>
    <x v="0"/>
    <s v="Ringo"/>
    <n v="124202"/>
    <n v="21"/>
    <x v="2"/>
    <x v="52"/>
    <n v="5914.3809520000004"/>
    <s v="Media"/>
  </r>
  <r>
    <x v="3"/>
    <s v="Peru"/>
    <s v="Transportes CPGQ"/>
    <x v="0"/>
    <x v="0"/>
    <s v="Ringo"/>
    <n v="181232"/>
    <n v="30"/>
    <x v="0"/>
    <x v="52"/>
    <n v="6041.0666670000001"/>
    <s v="Media"/>
  </r>
  <r>
    <x v="3"/>
    <s v="Peru"/>
    <s v="Transportes CPGQ"/>
    <x v="0"/>
    <x v="0"/>
    <s v="Ringo"/>
    <n v="101777"/>
    <n v="39"/>
    <x v="0"/>
    <x v="52"/>
    <n v="2609.666667"/>
    <s v="Media"/>
  </r>
  <r>
    <x v="3"/>
    <s v="Peru"/>
    <s v="FORZA S.A."/>
    <x v="0"/>
    <x v="0"/>
    <s v="Ringo"/>
    <n v="180470"/>
    <n v="17"/>
    <x v="4"/>
    <x v="52"/>
    <n v="10615.88235"/>
    <s v="Media"/>
  </r>
  <r>
    <x v="4"/>
    <s v="Peru"/>
    <s v="CLINICA INTERNACIONAL S.A."/>
    <x v="1"/>
    <x v="1"/>
    <s v="John"/>
    <n v="86311"/>
    <n v="18"/>
    <x v="4"/>
    <x v="53"/>
    <n v="4795.0555560000003"/>
    <s v="Bajo"/>
  </r>
  <r>
    <x v="4"/>
    <s v="Peru"/>
    <s v="FORZA S.A."/>
    <x v="0"/>
    <x v="0"/>
    <s v="Ringo"/>
    <n v="110468"/>
    <n v="27"/>
    <x v="2"/>
    <x v="52"/>
    <n v="4091.4074070000001"/>
    <s v="Media"/>
  </r>
  <r>
    <x v="4"/>
    <s v="Peru"/>
    <s v="Transportes CPGQ"/>
    <x v="0"/>
    <x v="0"/>
    <s v="Ringo"/>
    <n v="131273"/>
    <n v="40"/>
    <x v="0"/>
    <x v="52"/>
    <n v="3281.8249999999998"/>
    <s v="Media"/>
  </r>
  <r>
    <x v="4"/>
    <s v="Peru"/>
    <s v="Tractores Unidos"/>
    <x v="0"/>
    <x v="0"/>
    <s v="John"/>
    <n v="106806"/>
    <n v="24"/>
    <x v="2"/>
    <x v="52"/>
    <n v="4450.25"/>
    <s v="Media"/>
  </r>
  <r>
    <x v="4"/>
    <s v="Peru"/>
    <s v="FORZA S.A."/>
    <x v="0"/>
    <x v="0"/>
    <s v="Ringo"/>
    <n v="68692"/>
    <n v="22"/>
    <x v="2"/>
    <x v="52"/>
    <n v="3122.363636"/>
    <s v="Bajo"/>
  </r>
  <r>
    <x v="4"/>
    <s v="Peru"/>
    <s v="Transportes CPGQ"/>
    <x v="0"/>
    <x v="0"/>
    <s v="Ringo"/>
    <n v="90565"/>
    <n v="15"/>
    <x v="0"/>
    <x v="52"/>
    <n v="6037.6666670000004"/>
    <s v="Bajo"/>
  </r>
  <r>
    <x v="5"/>
    <s v="Peru"/>
    <s v="Operadores de Gas"/>
    <x v="0"/>
    <x v="0"/>
    <s v="John"/>
    <n v="79294"/>
    <n v="30"/>
    <x v="3"/>
    <x v="58"/>
    <n v="2643.1333330000002"/>
    <s v="Bajo"/>
  </r>
  <r>
    <x v="6"/>
    <s v="Peru"/>
    <s v="Seguros Positivos"/>
    <x v="7"/>
    <x v="0"/>
    <s v="Ringo"/>
    <n v="97248"/>
    <n v="38"/>
    <x v="4"/>
    <x v="58"/>
    <n v="2559.1578949999998"/>
    <s v="Bajo"/>
  </r>
  <r>
    <x v="0"/>
    <s v="Peru"/>
    <s v="Seguros Positivos"/>
    <x v="7"/>
    <x v="0"/>
    <s v="Ringo"/>
    <n v="70958"/>
    <n v="31"/>
    <x v="0"/>
    <x v="58"/>
    <n v="2288.9677419999998"/>
    <s v="Bajo"/>
  </r>
  <r>
    <x v="0"/>
    <s v="Peru"/>
    <s v="Operadores de Gas"/>
    <x v="7"/>
    <x v="0"/>
    <s v="John"/>
    <n v="215277"/>
    <n v="20"/>
    <x v="2"/>
    <x v="58"/>
    <n v="10763.85"/>
    <s v="Alta"/>
  </r>
  <r>
    <x v="0"/>
    <s v="Peru"/>
    <s v="Operadores de Gas"/>
    <x v="0"/>
    <x v="0"/>
    <s v="John"/>
    <n v="169193"/>
    <n v="16"/>
    <x v="0"/>
    <x v="58"/>
    <n v="10574.5625"/>
    <s v="Media"/>
  </r>
  <r>
    <x v="0"/>
    <s v="Peru"/>
    <s v="Operadores de Gas"/>
    <x v="0"/>
    <x v="0"/>
    <s v="John"/>
    <n v="62746"/>
    <n v="37"/>
    <x v="4"/>
    <x v="58"/>
    <n v="1695.8378379999999"/>
    <s v="Bajo"/>
  </r>
  <r>
    <x v="0"/>
    <s v="Peru"/>
    <s v="CORPORACION LINDLEY S.A."/>
    <x v="7"/>
    <x v="0"/>
    <s v="Ringo"/>
    <n v="194776"/>
    <n v="36"/>
    <x v="0"/>
    <x v="59"/>
    <n v="5410.4444439999997"/>
    <s v="Media"/>
  </r>
  <r>
    <x v="7"/>
    <s v="Peru"/>
    <s v="IFH Peru LTD"/>
    <x v="5"/>
    <x v="1"/>
    <s v="Ringo"/>
    <n v="241332"/>
    <n v="21"/>
    <x v="3"/>
    <x v="60"/>
    <n v="11492"/>
    <s v="Alta"/>
  </r>
  <r>
    <x v="7"/>
    <s v="Peru"/>
    <s v="Operadores de Gas"/>
    <x v="7"/>
    <x v="0"/>
    <s v="John"/>
    <n v="173389"/>
    <n v="19"/>
    <x v="0"/>
    <x v="58"/>
    <n v="9125.7368420000003"/>
    <s v="Media"/>
  </r>
  <r>
    <x v="7"/>
    <s v="Peru"/>
    <s v="Operadores de Gas"/>
    <x v="0"/>
    <x v="0"/>
    <s v="John"/>
    <n v="166055"/>
    <n v="40"/>
    <x v="0"/>
    <x v="58"/>
    <n v="4151.375"/>
    <s v="Media"/>
  </r>
  <r>
    <x v="7"/>
    <s v="Peru"/>
    <s v="CINEPLEX S.A"/>
    <x v="1"/>
    <x v="1"/>
    <s v="Ringo"/>
    <n v="220860"/>
    <n v="34"/>
    <x v="1"/>
    <x v="61"/>
    <n v="6495.882353"/>
    <s v="Alta"/>
  </r>
  <r>
    <x v="7"/>
    <s v="Peru"/>
    <s v="Seguros Positivos"/>
    <x v="7"/>
    <x v="0"/>
    <s v="Ringo"/>
    <n v="96982"/>
    <n v="38"/>
    <x v="2"/>
    <x v="58"/>
    <n v="2552.1578949999998"/>
    <s v="Bajo"/>
  </r>
  <r>
    <x v="7"/>
    <s v="Peru"/>
    <s v="Operadores de Gas"/>
    <x v="7"/>
    <x v="0"/>
    <s v="John"/>
    <n v="94899"/>
    <n v="26"/>
    <x v="2"/>
    <x v="58"/>
    <n v="3649.961538"/>
    <s v="Bajo"/>
  </r>
  <r>
    <x v="7"/>
    <s v="Peru"/>
    <s v="Ferrocarriles Centrales"/>
    <x v="7"/>
    <x v="0"/>
    <s v="Paul"/>
    <n v="238589"/>
    <n v="24"/>
    <x v="0"/>
    <x v="58"/>
    <n v="9941.2083330000005"/>
    <s v="Alta"/>
  </r>
  <r>
    <x v="7"/>
    <s v="Peru"/>
    <s v="Operadores de Gas"/>
    <x v="0"/>
    <x v="0"/>
    <s v="John"/>
    <n v="212535"/>
    <n v="23"/>
    <x v="0"/>
    <x v="58"/>
    <n v="9240.6521740000007"/>
    <s v="Alta"/>
  </r>
  <r>
    <x v="7"/>
    <s v="Peru"/>
    <s v="CLINICA INTERNACIONAL S.A."/>
    <x v="1"/>
    <x v="1"/>
    <s v="George"/>
    <n v="194809"/>
    <n v="34"/>
    <x v="4"/>
    <x v="62"/>
    <n v="5729.6764709999998"/>
    <s v="Media"/>
  </r>
  <r>
    <x v="7"/>
    <s v="Peru"/>
    <s v="CLINICA INTERNACIONAL S.A."/>
    <x v="1"/>
    <x v="1"/>
    <s v="George"/>
    <n v="116025"/>
    <n v="24"/>
    <x v="2"/>
    <x v="62"/>
    <n v="4834.375"/>
    <s v="Media"/>
  </r>
  <r>
    <x v="1"/>
    <s v="Peru"/>
    <s v="Operadores de Gas"/>
    <x v="0"/>
    <x v="0"/>
    <s v="John"/>
    <n v="68283"/>
    <n v="29"/>
    <x v="0"/>
    <x v="58"/>
    <n v="2354.5862069999998"/>
    <s v="Bajo"/>
  </r>
  <r>
    <x v="1"/>
    <s v="Peru"/>
    <s v="Seguros Positivos"/>
    <x v="7"/>
    <x v="0"/>
    <s v="Ringo"/>
    <n v="93983"/>
    <n v="29"/>
    <x v="4"/>
    <x v="58"/>
    <n v="3240.793103"/>
    <s v="Bajo"/>
  </r>
  <r>
    <x v="1"/>
    <s v="Peru"/>
    <s v="Seguros Positivos"/>
    <x v="7"/>
    <x v="0"/>
    <s v="Ringo"/>
    <n v="203876"/>
    <n v="34"/>
    <x v="0"/>
    <x v="58"/>
    <n v="5996.3529410000001"/>
    <s v="Alta"/>
  </r>
  <r>
    <x v="1"/>
    <s v="Peru"/>
    <s v="Operadores de Gas"/>
    <x v="0"/>
    <x v="0"/>
    <s v="John"/>
    <n v="247015"/>
    <n v="26"/>
    <x v="0"/>
    <x v="58"/>
    <n v="9500.5769230000005"/>
    <s v="Alta"/>
  </r>
  <r>
    <x v="1"/>
    <s v="Peru"/>
    <s v="Operadores de Gas"/>
    <x v="7"/>
    <x v="0"/>
    <s v="John"/>
    <n v="199925"/>
    <n v="42"/>
    <x v="0"/>
    <x v="58"/>
    <n v="4760.1190479999996"/>
    <s v="Media"/>
  </r>
  <r>
    <x v="1"/>
    <s v="Peru"/>
    <s v="Seguros Positivos"/>
    <x v="7"/>
    <x v="0"/>
    <s v="Ringo"/>
    <n v="75539"/>
    <n v="27"/>
    <x v="0"/>
    <x v="58"/>
    <n v="2797.7407410000001"/>
    <s v="Bajo"/>
  </r>
  <r>
    <x v="1"/>
    <s v="Peru"/>
    <s v="Sodimac Peru, S.A."/>
    <x v="1"/>
    <x v="1"/>
    <s v="Ringo"/>
    <n v="172613"/>
    <n v="32"/>
    <x v="3"/>
    <x v="59"/>
    <n v="5394.15625"/>
    <s v="Media"/>
  </r>
  <r>
    <x v="1"/>
    <s v="Peru"/>
    <s v="Operadores de Gas"/>
    <x v="0"/>
    <x v="0"/>
    <s v="John"/>
    <n v="135082"/>
    <n v="26"/>
    <x v="0"/>
    <x v="58"/>
    <n v="5195.4615379999996"/>
    <s v="Media"/>
  </r>
  <r>
    <x v="1"/>
    <s v="Peru"/>
    <s v="Operadores de Gas"/>
    <x v="0"/>
    <x v="0"/>
    <s v="John"/>
    <n v="225533"/>
    <n v="34"/>
    <x v="4"/>
    <x v="58"/>
    <n v="6633.3235290000002"/>
    <s v="Alta"/>
  </r>
  <r>
    <x v="1"/>
    <s v="Peru"/>
    <s v="Seguros Positivos"/>
    <x v="7"/>
    <x v="0"/>
    <s v="Ringo"/>
    <n v="143814"/>
    <n v="22"/>
    <x v="3"/>
    <x v="58"/>
    <n v="6537"/>
    <s v="Media"/>
  </r>
  <r>
    <x v="1"/>
    <s v="Peru"/>
    <s v="SCOTIABANK PERU"/>
    <x v="1"/>
    <x v="1"/>
    <s v="Ringo"/>
    <n v="234590"/>
    <n v="35"/>
    <x v="4"/>
    <x v="60"/>
    <n v="6702.5714289999996"/>
    <s v="Alta"/>
  </r>
  <r>
    <x v="1"/>
    <s v="Peru"/>
    <s v="Operadores de Gas"/>
    <x v="0"/>
    <x v="0"/>
    <s v="John"/>
    <n v="214800"/>
    <n v="41"/>
    <x v="4"/>
    <x v="58"/>
    <n v="5239.0243899999996"/>
    <s v="Alta"/>
  </r>
  <r>
    <x v="1"/>
    <s v="Peru"/>
    <s v="Ferrocarriles Centrales"/>
    <x v="7"/>
    <x v="0"/>
    <s v="Paul"/>
    <n v="219704"/>
    <n v="35"/>
    <x v="4"/>
    <x v="58"/>
    <n v="6277.2571429999998"/>
    <s v="Alta"/>
  </r>
  <r>
    <x v="1"/>
    <s v="Peru"/>
    <s v="Seguros Positivos"/>
    <x v="7"/>
    <x v="0"/>
    <s v="Ringo"/>
    <n v="158223"/>
    <n v="38"/>
    <x v="0"/>
    <x v="58"/>
    <n v="4163.7631579999997"/>
    <s v="Media"/>
  </r>
  <r>
    <x v="1"/>
    <s v="Peru"/>
    <s v="Operadores de Gas"/>
    <x v="0"/>
    <x v="0"/>
    <s v="John"/>
    <n v="114069"/>
    <n v="15"/>
    <x v="3"/>
    <x v="58"/>
    <n v="7604.6"/>
    <s v="Media"/>
  </r>
  <r>
    <x v="2"/>
    <s v="Peru"/>
    <s v="Seguros Positivos"/>
    <x v="7"/>
    <x v="0"/>
    <s v="Ringo"/>
    <n v="174569"/>
    <n v="29"/>
    <x v="0"/>
    <x v="58"/>
    <n v="6019.6206899999997"/>
    <s v="Media"/>
  </r>
  <r>
    <x v="2"/>
    <s v="Peru"/>
    <s v="Unique, S.A."/>
    <x v="1"/>
    <x v="1"/>
    <s v="Ringo"/>
    <n v="87539"/>
    <n v="25"/>
    <x v="3"/>
    <x v="60"/>
    <n v="3501.56"/>
    <s v="Bajo"/>
  </r>
  <r>
    <x v="2"/>
    <s v="Peru"/>
    <s v="Operadores de Gas"/>
    <x v="0"/>
    <x v="0"/>
    <s v="John"/>
    <n v="75445"/>
    <n v="18"/>
    <x v="2"/>
    <x v="58"/>
    <n v="4191.3888889999998"/>
    <s v="Bajo"/>
  </r>
  <r>
    <x v="2"/>
    <s v="Peru"/>
    <s v="CLINICA INTERNACIONAL S.A."/>
    <x v="1"/>
    <x v="1"/>
    <s v="George"/>
    <n v="56649"/>
    <n v="21"/>
    <x v="0"/>
    <x v="62"/>
    <n v="2697.5714290000001"/>
    <s v="Bajo"/>
  </r>
  <r>
    <x v="2"/>
    <s v="Peru"/>
    <s v="LOS PORTALES S.A."/>
    <x v="0"/>
    <x v="0"/>
    <s v="Ringo"/>
    <n v="221062"/>
    <n v="32"/>
    <x v="2"/>
    <x v="63"/>
    <n v="6908.1875"/>
    <s v="Alta"/>
  </r>
  <r>
    <x v="2"/>
    <s v="Peru"/>
    <s v="Operadores de Gas"/>
    <x v="0"/>
    <x v="0"/>
    <s v="John"/>
    <n v="82736"/>
    <n v="35"/>
    <x v="2"/>
    <x v="58"/>
    <n v="2363.885714"/>
    <s v="Bajo"/>
  </r>
  <r>
    <x v="2"/>
    <s v="Peru"/>
    <s v="Operadores de Gas"/>
    <x v="7"/>
    <x v="0"/>
    <s v="John"/>
    <n v="202292"/>
    <n v="42"/>
    <x v="0"/>
    <x v="58"/>
    <n v="4816.4761900000003"/>
    <s v="Alta"/>
  </r>
  <r>
    <x v="2"/>
    <s v="Peru"/>
    <s v="Banco Inca"/>
    <x v="1"/>
    <x v="1"/>
    <s v="Ringo"/>
    <n v="58039"/>
    <n v="40"/>
    <x v="1"/>
    <x v="64"/>
    <n v="1450.9749999999999"/>
    <s v="Bajo"/>
  </r>
  <r>
    <x v="2"/>
    <s v="Peru"/>
    <s v="Banco Egipcio Nacional"/>
    <x v="5"/>
    <x v="1"/>
    <s v="Ringo"/>
    <n v="146216"/>
    <n v="24"/>
    <x v="1"/>
    <x v="60"/>
    <n v="6092.3333329999996"/>
    <s v="Media"/>
  </r>
  <r>
    <x v="3"/>
    <s v="Peru"/>
    <s v="LOS PORTALES S.A."/>
    <x v="0"/>
    <x v="0"/>
    <s v="Ringo"/>
    <n v="195024"/>
    <n v="19"/>
    <x v="2"/>
    <x v="63"/>
    <n v="10264.421050000001"/>
    <s v="Media"/>
  </r>
  <r>
    <x v="3"/>
    <s v="Peru"/>
    <s v="Seguros Positivos"/>
    <x v="7"/>
    <x v="0"/>
    <s v="Ringo"/>
    <n v="59374"/>
    <n v="24"/>
    <x v="0"/>
    <x v="58"/>
    <n v="2473.916667"/>
    <s v="Bajo"/>
  </r>
  <r>
    <x v="3"/>
    <s v="Peru"/>
    <s v="Seguros Positivos"/>
    <x v="7"/>
    <x v="0"/>
    <s v="Ringo"/>
    <n v="243567"/>
    <n v="20"/>
    <x v="2"/>
    <x v="58"/>
    <n v="12178.35"/>
    <s v="Alta"/>
  </r>
  <r>
    <x v="3"/>
    <s v="Peru"/>
    <s v="TELCO Internacional"/>
    <x v="1"/>
    <x v="1"/>
    <s v="Ringo"/>
    <n v="178289"/>
    <n v="30"/>
    <x v="1"/>
    <x v="59"/>
    <n v="5942.9666669999997"/>
    <s v="Media"/>
  </r>
  <r>
    <x v="4"/>
    <s v="Peru"/>
    <s v="IFH Peru LTD"/>
    <x v="1"/>
    <x v="1"/>
    <s v="Ringo"/>
    <n v="82993"/>
    <n v="29"/>
    <x v="1"/>
    <x v="59"/>
    <n v="2861.8275859999999"/>
    <s v="Bajo"/>
  </r>
  <r>
    <x v="4"/>
    <s v="Peru"/>
    <s v="Operadores de Gas"/>
    <x v="0"/>
    <x v="0"/>
    <s v="John"/>
    <n v="195651"/>
    <n v="35"/>
    <x v="3"/>
    <x v="58"/>
    <n v="5590.0285709999998"/>
    <s v="Media"/>
  </r>
  <r>
    <x v="4"/>
    <s v="Peru"/>
    <s v="Seguros Positivos"/>
    <x v="7"/>
    <x v="0"/>
    <s v="Ringo"/>
    <n v="89550"/>
    <n v="29"/>
    <x v="0"/>
    <x v="58"/>
    <n v="3087.9310340000002"/>
    <s v="Bajo"/>
  </r>
  <r>
    <x v="4"/>
    <s v="Peru"/>
    <s v="CORPORACION LINDLEY S.A."/>
    <x v="7"/>
    <x v="0"/>
    <s v="Ringo"/>
    <n v="61730"/>
    <n v="29"/>
    <x v="0"/>
    <x v="59"/>
    <n v="2128.6206900000002"/>
    <s v="Bajo"/>
  </r>
  <r>
    <x v="4"/>
    <s v="Peru"/>
    <s v="Grandes Montañas"/>
    <x v="5"/>
    <x v="1"/>
    <s v="Ringo"/>
    <n v="244178"/>
    <n v="21"/>
    <x v="1"/>
    <x v="60"/>
    <n v="11627.523810000001"/>
    <s v="Alta"/>
  </r>
  <r>
    <x v="4"/>
    <s v="Peru"/>
    <s v="Operadores de Gas"/>
    <x v="7"/>
    <x v="0"/>
    <s v="John"/>
    <n v="147047"/>
    <n v="33"/>
    <x v="2"/>
    <x v="58"/>
    <n v="4455.9696970000005"/>
    <s v="Media"/>
  </r>
  <r>
    <x v="4"/>
    <s v="Peru"/>
    <s v="Seguros Positivos"/>
    <x v="7"/>
    <x v="0"/>
    <s v="Ringo"/>
    <n v="180690"/>
    <n v="32"/>
    <x v="4"/>
    <x v="58"/>
    <n v="5646.5625"/>
    <s v="Media"/>
  </r>
  <r>
    <x v="5"/>
    <s v="Peru"/>
    <s v="Banco Inca"/>
    <x v="1"/>
    <x v="1"/>
    <s v="Ringo"/>
    <n v="214986"/>
    <n v="19"/>
    <x v="1"/>
    <x v="65"/>
    <n v="11315.05263"/>
    <s v="Alta"/>
  </r>
  <r>
    <x v="6"/>
    <s v="Peru"/>
    <s v="HAUG S.A."/>
    <x v="6"/>
    <x v="0"/>
    <s v="Ringo"/>
    <n v="237694"/>
    <n v="30"/>
    <x v="0"/>
    <x v="66"/>
    <n v="7923.1333329999998"/>
    <s v="Alta"/>
  </r>
  <r>
    <x v="0"/>
    <s v="Peru"/>
    <s v="HAUG S.A."/>
    <x v="6"/>
    <x v="0"/>
    <s v="Ringo"/>
    <n v="135816"/>
    <n v="18"/>
    <x v="4"/>
    <x v="66"/>
    <n v="7545.3333329999996"/>
    <s v="Media"/>
  </r>
  <r>
    <x v="7"/>
    <s v="Peru"/>
    <s v="Electro Este"/>
    <x v="7"/>
    <x v="0"/>
    <s v="Ringo"/>
    <n v="198335"/>
    <n v="23"/>
    <x v="0"/>
    <x v="66"/>
    <n v="8623.2608700000001"/>
    <s v="Media"/>
  </r>
  <r>
    <x v="7"/>
    <s v="Peru"/>
    <s v="Electro Este"/>
    <x v="7"/>
    <x v="0"/>
    <s v="Ringo"/>
    <n v="216752"/>
    <n v="24"/>
    <x v="0"/>
    <x v="66"/>
    <n v="9031.3333330000005"/>
    <s v="Alta"/>
  </r>
  <r>
    <x v="7"/>
    <s v="Peru"/>
    <s v="HAUG S.A."/>
    <x v="6"/>
    <x v="0"/>
    <s v="Ringo"/>
    <n v="225035"/>
    <n v="21"/>
    <x v="2"/>
    <x v="66"/>
    <n v="10715.952380000001"/>
    <s v="Alta"/>
  </r>
  <r>
    <x v="7"/>
    <s v="Peru"/>
    <s v="Electro Este"/>
    <x v="7"/>
    <x v="0"/>
    <s v="Ringo"/>
    <n v="60671"/>
    <n v="22"/>
    <x v="3"/>
    <x v="66"/>
    <n v="2757.772727"/>
    <s v="Bajo"/>
  </r>
  <r>
    <x v="7"/>
    <s v="Peru"/>
    <s v="HAUG S.A."/>
    <x v="6"/>
    <x v="0"/>
    <s v="Ringo"/>
    <n v="95869"/>
    <n v="33"/>
    <x v="0"/>
    <x v="66"/>
    <n v="2905.121212"/>
    <s v="Bajo"/>
  </r>
  <r>
    <x v="7"/>
    <s v="Peru"/>
    <s v="Eckerd Peru, S.A."/>
    <x v="1"/>
    <x v="1"/>
    <s v="Ringo"/>
    <n v="168365"/>
    <n v="30"/>
    <x v="1"/>
    <x v="67"/>
    <n v="5612.1666670000004"/>
    <s v="Media"/>
  </r>
  <r>
    <x v="7"/>
    <s v="Peru"/>
    <s v="Electro Este"/>
    <x v="7"/>
    <x v="0"/>
    <s v="Ringo"/>
    <n v="148772"/>
    <n v="19"/>
    <x v="0"/>
    <x v="66"/>
    <n v="7830.1052630000004"/>
    <s v="Media"/>
  </r>
  <r>
    <x v="7"/>
    <s v="Peru"/>
    <s v="HAUG S.A."/>
    <x v="6"/>
    <x v="0"/>
    <s v="Ringo"/>
    <n v="57931"/>
    <n v="40"/>
    <x v="2"/>
    <x v="66"/>
    <n v="1448.2750000000001"/>
    <s v="Bajo"/>
  </r>
  <r>
    <x v="1"/>
    <s v="Peru"/>
    <s v="Electro Este"/>
    <x v="7"/>
    <x v="0"/>
    <s v="Ringo"/>
    <n v="192702"/>
    <n v="41"/>
    <x v="0"/>
    <x v="66"/>
    <n v="4700.0487800000001"/>
    <s v="Media"/>
  </r>
  <r>
    <x v="1"/>
    <s v="Peru"/>
    <s v="Electro Este"/>
    <x v="7"/>
    <x v="0"/>
    <s v="Ringo"/>
    <n v="127812"/>
    <n v="29"/>
    <x v="2"/>
    <x v="66"/>
    <n v="4407.3103449999999"/>
    <s v="Media"/>
  </r>
  <r>
    <x v="1"/>
    <s v="Peru"/>
    <s v="Electro Este"/>
    <x v="7"/>
    <x v="0"/>
    <s v="Ringo"/>
    <n v="94571"/>
    <n v="42"/>
    <x v="0"/>
    <x v="66"/>
    <n v="2251.6904760000002"/>
    <s v="Bajo"/>
  </r>
  <r>
    <x v="1"/>
    <s v="Peru"/>
    <s v="Electro Este"/>
    <x v="7"/>
    <x v="0"/>
    <s v="Ringo"/>
    <n v="202782"/>
    <n v="37"/>
    <x v="0"/>
    <x v="66"/>
    <n v="5480.5945949999996"/>
    <s v="Alta"/>
  </r>
  <r>
    <x v="1"/>
    <s v="Peru"/>
    <s v="Servicios Generales"/>
    <x v="1"/>
    <x v="1"/>
    <s v="Ringo"/>
    <n v="148894"/>
    <n v="34"/>
    <x v="1"/>
    <x v="65"/>
    <n v="4379.2352940000001"/>
    <s v="Media"/>
  </r>
  <r>
    <x v="2"/>
    <s v="Peru"/>
    <s v="Electro Este"/>
    <x v="7"/>
    <x v="0"/>
    <s v="Ringo"/>
    <n v="82666"/>
    <n v="27"/>
    <x v="2"/>
    <x v="66"/>
    <n v="3061.703704"/>
    <s v="Bajo"/>
  </r>
  <r>
    <x v="2"/>
    <s v="Peru"/>
    <s v="HAUG S.A."/>
    <x v="6"/>
    <x v="0"/>
    <s v="Ringo"/>
    <n v="236895"/>
    <n v="20"/>
    <x v="2"/>
    <x v="66"/>
    <n v="11844.75"/>
    <s v="Alta"/>
  </r>
  <r>
    <x v="2"/>
    <s v="Peru"/>
    <s v="Banco Inca"/>
    <x v="1"/>
    <x v="1"/>
    <s v="Ringo"/>
    <n v="227528"/>
    <n v="30"/>
    <x v="2"/>
    <x v="68"/>
    <n v="7584.2666669999999"/>
    <s v="Alta"/>
  </r>
  <r>
    <x v="2"/>
    <s v="Peru"/>
    <s v="Electro Este"/>
    <x v="7"/>
    <x v="0"/>
    <s v="Ringo"/>
    <n v="236419"/>
    <n v="23"/>
    <x v="2"/>
    <x v="66"/>
    <n v="10279.086960000001"/>
    <s v="Alta"/>
  </r>
  <r>
    <x v="2"/>
    <s v="Peru"/>
    <s v="Profuturo AFP"/>
    <x v="1"/>
    <x v="1"/>
    <s v="Ringo"/>
    <n v="167326"/>
    <n v="37"/>
    <x v="1"/>
    <x v="69"/>
    <n v="4522.3243240000002"/>
    <s v="Media"/>
  </r>
  <r>
    <x v="3"/>
    <s v="Peru"/>
    <s v="HAUG S.A."/>
    <x v="6"/>
    <x v="0"/>
    <s v="Ringo"/>
    <n v="56636"/>
    <n v="33"/>
    <x v="0"/>
    <x v="66"/>
    <n v="1716.242424"/>
    <s v="Bajo"/>
  </r>
  <r>
    <x v="3"/>
    <s v="Peru"/>
    <s v="Gloria"/>
    <x v="1"/>
    <x v="1"/>
    <s v="Ringo"/>
    <n v="74466"/>
    <n v="21"/>
    <x v="1"/>
    <x v="65"/>
    <n v="3546"/>
    <s v="Bajo"/>
  </r>
  <r>
    <x v="4"/>
    <s v="Peru"/>
    <s v="Electro Este"/>
    <x v="7"/>
    <x v="0"/>
    <s v="Ringo"/>
    <n v="139098"/>
    <n v="35"/>
    <x v="2"/>
    <x v="66"/>
    <n v="3974.2285710000001"/>
    <s v="Media"/>
  </r>
  <r>
    <x v="4"/>
    <s v="Peru"/>
    <s v="Banco Inca"/>
    <x v="1"/>
    <x v="1"/>
    <s v="Ringo"/>
    <n v="178143"/>
    <n v="37"/>
    <x v="2"/>
    <x v="68"/>
    <n v="4814.6756759999998"/>
    <s v="Media"/>
  </r>
  <r>
    <x v="4"/>
    <s v="Peru"/>
    <s v="Profuturo AFP"/>
    <x v="1"/>
    <x v="1"/>
    <s v="Ringo"/>
    <n v="167348"/>
    <n v="39"/>
    <x v="1"/>
    <x v="65"/>
    <n v="4290.9743589999998"/>
    <s v="Media"/>
  </r>
  <r>
    <x v="5"/>
    <s v="Peru"/>
    <s v="CLINICA INTERNACIONAL S.A."/>
    <x v="1"/>
    <x v="1"/>
    <s v="George"/>
    <n v="129917"/>
    <n v="33"/>
    <x v="2"/>
    <x v="70"/>
    <n v="3936.878788"/>
    <s v="Media"/>
  </r>
  <r>
    <x v="5"/>
    <s v="Peru"/>
    <s v="Gloria"/>
    <x v="6"/>
    <x v="0"/>
    <s v="Ringo"/>
    <n v="180074"/>
    <n v="37"/>
    <x v="4"/>
    <x v="71"/>
    <n v="4866.8648649999996"/>
    <s v="Media"/>
  </r>
  <r>
    <x v="0"/>
    <s v="Peru"/>
    <s v="Plasticos SAC"/>
    <x v="2"/>
    <x v="0"/>
    <s v="John"/>
    <n v="235799"/>
    <n v="23"/>
    <x v="2"/>
    <x v="72"/>
    <n v="10252.130429999999"/>
    <s v="Alta"/>
  </r>
  <r>
    <x v="0"/>
    <s v="Peru"/>
    <s v="Fabrica de Software"/>
    <x v="2"/>
    <x v="1"/>
    <s v="Ringo"/>
    <n v="127126"/>
    <n v="23"/>
    <x v="0"/>
    <x v="72"/>
    <n v="5527.2173910000001"/>
    <s v="Media"/>
  </r>
  <r>
    <x v="7"/>
    <s v="Peru"/>
    <s v="SCOTIABANK PERU"/>
    <x v="1"/>
    <x v="1"/>
    <s v="Ringo"/>
    <n v="173340"/>
    <n v="16"/>
    <x v="0"/>
    <x v="71"/>
    <n v="10833.75"/>
    <s v="Media"/>
  </r>
  <r>
    <x v="7"/>
    <s v="Peru"/>
    <s v="Plasticos SAC"/>
    <x v="2"/>
    <x v="0"/>
    <s v="John"/>
    <n v="62580"/>
    <n v="16"/>
    <x v="2"/>
    <x v="72"/>
    <n v="3911.25"/>
    <s v="Bajo"/>
  </r>
  <r>
    <x v="7"/>
    <s v="Peru"/>
    <s v="Fabrica de Software"/>
    <x v="2"/>
    <x v="1"/>
    <s v="Ringo"/>
    <n v="116079"/>
    <n v="41"/>
    <x v="0"/>
    <x v="72"/>
    <n v="2831.1951220000001"/>
    <s v="Media"/>
  </r>
  <r>
    <x v="7"/>
    <s v="Peru"/>
    <s v="CLINICA INTERNACIONAL S.A."/>
    <x v="1"/>
    <x v="1"/>
    <s v="George"/>
    <n v="147784"/>
    <n v="16"/>
    <x v="0"/>
    <x v="70"/>
    <n v="9236.5"/>
    <s v="Media"/>
  </r>
  <r>
    <x v="7"/>
    <s v="Peru"/>
    <s v="LINEA AMARILLA S.A.C."/>
    <x v="4"/>
    <x v="0"/>
    <s v="George"/>
    <n v="145360"/>
    <n v="34"/>
    <x v="0"/>
    <x v="73"/>
    <n v="4275.2941179999998"/>
    <s v="Media"/>
  </r>
  <r>
    <x v="7"/>
    <s v="Peru"/>
    <s v="Fabrica de Software"/>
    <x v="2"/>
    <x v="1"/>
    <s v="Ringo"/>
    <n v="62223"/>
    <n v="24"/>
    <x v="0"/>
    <x v="72"/>
    <n v="2592.625"/>
    <s v="Bajo"/>
  </r>
  <r>
    <x v="7"/>
    <s v="Peru"/>
    <s v="CLINICA INTERNACIONAL S.A."/>
    <x v="1"/>
    <x v="1"/>
    <s v="George"/>
    <n v="177809"/>
    <n v="30"/>
    <x v="0"/>
    <x v="70"/>
    <n v="5926.9666669999997"/>
    <s v="Media"/>
  </r>
  <r>
    <x v="7"/>
    <s v="Peru"/>
    <s v="Banco Inca"/>
    <x v="1"/>
    <x v="1"/>
    <s v="Ringo"/>
    <n v="78315"/>
    <n v="21"/>
    <x v="2"/>
    <x v="71"/>
    <n v="3729.2857140000001"/>
    <s v="Bajo"/>
  </r>
  <r>
    <x v="7"/>
    <s v="Peru"/>
    <s v="Fabrica de Software"/>
    <x v="2"/>
    <x v="1"/>
    <s v="Ringo"/>
    <n v="69046"/>
    <n v="35"/>
    <x v="3"/>
    <x v="72"/>
    <n v="1972.742857"/>
    <s v="Bajo"/>
  </r>
  <r>
    <x v="7"/>
    <s v="Peru"/>
    <s v="Fabrica de Software"/>
    <x v="2"/>
    <x v="1"/>
    <s v="Ringo"/>
    <n v="163488"/>
    <n v="40"/>
    <x v="0"/>
    <x v="72"/>
    <n v="4087.2"/>
    <s v="Media"/>
  </r>
  <r>
    <x v="1"/>
    <s v="Peru"/>
    <s v="Fabrica de Software"/>
    <x v="2"/>
    <x v="1"/>
    <s v="Ringo"/>
    <n v="185348"/>
    <n v="40"/>
    <x v="0"/>
    <x v="72"/>
    <n v="4633.7"/>
    <s v="Media"/>
  </r>
  <r>
    <x v="1"/>
    <s v="Peru"/>
    <s v="Fabrica de Software"/>
    <x v="2"/>
    <x v="1"/>
    <s v="Ringo"/>
    <n v="117329"/>
    <n v="19"/>
    <x v="2"/>
    <x v="72"/>
    <n v="6175.2105259999998"/>
    <s v="Media"/>
  </r>
  <r>
    <x v="1"/>
    <s v="Peru"/>
    <s v="Plasticos SAC"/>
    <x v="2"/>
    <x v="0"/>
    <s v="Ringo"/>
    <n v="60050"/>
    <n v="30"/>
    <x v="4"/>
    <x v="71"/>
    <n v="2001.666667"/>
    <s v="Bajo"/>
  </r>
  <r>
    <x v="1"/>
    <s v="Peru"/>
    <s v="Plasticos SAC"/>
    <x v="2"/>
    <x v="0"/>
    <s v="John"/>
    <n v="92225"/>
    <n v="42"/>
    <x v="4"/>
    <x v="72"/>
    <n v="2195.833333"/>
    <s v="Bajo"/>
  </r>
  <r>
    <x v="1"/>
    <s v="Peru"/>
    <s v="SCOTIABANK PERU"/>
    <x v="2"/>
    <x v="1"/>
    <s v="Ringo"/>
    <n v="198207"/>
    <n v="40"/>
    <x v="3"/>
    <x v="71"/>
    <n v="4955.1750000000002"/>
    <s v="Media"/>
  </r>
  <r>
    <x v="1"/>
    <s v="Peru"/>
    <s v="LA ARENA S.A."/>
    <x v="2"/>
    <x v="0"/>
    <s v="Ringo"/>
    <n v="198864"/>
    <n v="30"/>
    <x v="4"/>
    <x v="71"/>
    <n v="6628.8"/>
    <s v="Media"/>
  </r>
  <r>
    <x v="1"/>
    <s v="Peru"/>
    <s v="Fabrica de Software"/>
    <x v="2"/>
    <x v="1"/>
    <s v="Ringo"/>
    <n v="185665"/>
    <n v="26"/>
    <x v="0"/>
    <x v="72"/>
    <n v="7140.9615379999996"/>
    <s v="Media"/>
  </r>
  <r>
    <x v="1"/>
    <s v="Peru"/>
    <s v="Plasticos SAC"/>
    <x v="2"/>
    <x v="0"/>
    <s v="Ringo"/>
    <n v="58494"/>
    <n v="41"/>
    <x v="4"/>
    <x v="72"/>
    <n v="1426.6829270000001"/>
    <s v="Bajo"/>
  </r>
  <r>
    <x v="1"/>
    <s v="Peru"/>
    <s v="Plasticos SAC"/>
    <x v="2"/>
    <x v="0"/>
    <s v="John"/>
    <n v="77687"/>
    <n v="33"/>
    <x v="2"/>
    <x v="72"/>
    <n v="2354.151515"/>
    <s v="Bajo"/>
  </r>
  <r>
    <x v="1"/>
    <s v="Peru"/>
    <s v="RIMAC Corp"/>
    <x v="1"/>
    <x v="1"/>
    <s v="Ringo"/>
    <n v="183572"/>
    <n v="42"/>
    <x v="0"/>
    <x v="70"/>
    <n v="4370.7619050000003"/>
    <s v="Media"/>
  </r>
  <r>
    <x v="1"/>
    <s v="Peru"/>
    <s v="Fabrica de Software"/>
    <x v="2"/>
    <x v="1"/>
    <s v="Ringo"/>
    <n v="192186"/>
    <n v="40"/>
    <x v="2"/>
    <x v="72"/>
    <n v="4804.6499999999996"/>
    <s v="Media"/>
  </r>
  <r>
    <x v="2"/>
    <s v="Peru"/>
    <s v="Plasticos SAC"/>
    <x v="2"/>
    <x v="0"/>
    <s v="John"/>
    <n v="169065"/>
    <n v="19"/>
    <x v="0"/>
    <x v="72"/>
    <n v="8898.1578950000003"/>
    <s v="Media"/>
  </r>
  <r>
    <x v="2"/>
    <s v="Peru"/>
    <s v="Fabrica de Software"/>
    <x v="2"/>
    <x v="1"/>
    <s v="Ringo"/>
    <n v="106154"/>
    <n v="42"/>
    <x v="0"/>
    <x v="72"/>
    <n v="2527.4761899999999"/>
    <s v="Media"/>
  </r>
  <r>
    <x v="2"/>
    <s v="Peru"/>
    <s v="CLINICA INTERNACIONAL S.A."/>
    <x v="1"/>
    <x v="1"/>
    <s v="George"/>
    <n v="99706"/>
    <n v="26"/>
    <x v="0"/>
    <x v="70"/>
    <n v="3834.8461539999998"/>
    <s v="Bajo"/>
  </r>
  <r>
    <x v="2"/>
    <s v="Peru"/>
    <s v="Grandes Montañas"/>
    <x v="2"/>
    <x v="1"/>
    <s v="Ringo"/>
    <n v="228631"/>
    <n v="15"/>
    <x v="2"/>
    <x v="71"/>
    <n v="15242.06667"/>
    <s v="Alta"/>
  </r>
  <r>
    <x v="3"/>
    <s v="Peru"/>
    <s v="Radios Unidos por el pais"/>
    <x v="2"/>
    <x v="0"/>
    <s v="Ringo"/>
    <n v="57810"/>
    <n v="30"/>
    <x v="4"/>
    <x v="70"/>
    <n v="1927"/>
    <s v="Bajo"/>
  </r>
  <r>
    <x v="3"/>
    <s v="Peru"/>
    <s v="CIA INDUSTRIAL NUEVO MUNDO S.A."/>
    <x v="3"/>
    <x v="0"/>
    <s v="Ringo"/>
    <n v="161757"/>
    <n v="34"/>
    <x v="4"/>
    <x v="74"/>
    <n v="4757.5588239999997"/>
    <s v="Media"/>
  </r>
  <r>
    <x v="3"/>
    <s v="Peru"/>
    <s v="SCOTIABANK PERU"/>
    <x v="1"/>
    <x v="1"/>
    <s v="Ringo"/>
    <n v="234845"/>
    <n v="24"/>
    <x v="0"/>
    <x v="71"/>
    <n v="9785.2083330000005"/>
    <s v="Alta"/>
  </r>
  <r>
    <x v="4"/>
    <s v="Peru"/>
    <s v="SCOTIABANK PERU"/>
    <x v="2"/>
    <x v="1"/>
    <s v="Ringo"/>
    <n v="73039"/>
    <n v="34"/>
    <x v="2"/>
    <x v="71"/>
    <n v="2148.2058820000002"/>
    <s v="Bajo"/>
  </r>
  <r>
    <x v="4"/>
    <s v="Peru"/>
    <s v="Plasticos SAC"/>
    <x v="2"/>
    <x v="0"/>
    <s v="John"/>
    <n v="70112"/>
    <n v="22"/>
    <x v="2"/>
    <x v="75"/>
    <n v="3186.909091"/>
    <s v="Bajo"/>
  </r>
  <r>
    <x v="4"/>
    <s v="Peru"/>
    <s v="Fabrica de Software"/>
    <x v="2"/>
    <x v="1"/>
    <s v="Ringo"/>
    <n v="123591"/>
    <n v="36"/>
    <x v="2"/>
    <x v="72"/>
    <n v="3433.083333"/>
    <s v="Media"/>
  </r>
  <r>
    <x v="4"/>
    <s v="Peru"/>
    <s v="SCOTIABANK PERU"/>
    <x v="2"/>
    <x v="1"/>
    <s v="Ringo"/>
    <n v="51345"/>
    <n v="16"/>
    <x v="3"/>
    <x v="71"/>
    <n v="3209.0625"/>
    <s v="Bajo"/>
  </r>
  <r>
    <x v="4"/>
    <s v="Peru"/>
    <s v="LINEA AMARILLA S.A.C."/>
    <x v="4"/>
    <x v="0"/>
    <s v="George"/>
    <n v="245032"/>
    <n v="30"/>
    <x v="0"/>
    <x v="73"/>
    <n v="8167.7333330000001"/>
    <s v="Alta"/>
  </r>
  <r>
    <x v="6"/>
    <s v="Peru"/>
    <s v="Lima Airport Partner"/>
    <x v="7"/>
    <x v="0"/>
    <s v="George"/>
    <n v="196892"/>
    <n v="16"/>
    <x v="2"/>
    <x v="76"/>
    <n v="12305.75"/>
    <s v="Media"/>
  </r>
  <r>
    <x v="6"/>
    <s v="Peru"/>
    <s v="Lima Airport Partner"/>
    <x v="7"/>
    <x v="0"/>
    <s v="George"/>
    <n v="101165"/>
    <n v="26"/>
    <x v="0"/>
    <x v="76"/>
    <n v="3890.961538"/>
    <s v="Media"/>
  </r>
  <r>
    <x v="0"/>
    <s v="Peru"/>
    <s v="CLINICA INTERNACIONAL S.A."/>
    <x v="1"/>
    <x v="1"/>
    <s v="Ringo"/>
    <n v="137994"/>
    <n v="18"/>
    <x v="2"/>
    <x v="77"/>
    <n v="7666.3333329999996"/>
    <s v="Media"/>
  </r>
  <r>
    <x v="0"/>
    <s v="Peru"/>
    <s v="LAIVE S.A."/>
    <x v="2"/>
    <x v="0"/>
    <s v="Paul"/>
    <n v="155581"/>
    <n v="26"/>
    <x v="0"/>
    <x v="78"/>
    <n v="5983.8846149999999"/>
    <s v="Media"/>
  </r>
  <r>
    <x v="0"/>
    <s v="Peru"/>
    <s v="Ferrocarriles Centrales"/>
    <x v="3"/>
    <x v="0"/>
    <s v="Ringo"/>
    <n v="75064"/>
    <n v="29"/>
    <x v="0"/>
    <x v="79"/>
    <n v="2588.4137930000002"/>
    <s v="Bajo"/>
  </r>
  <r>
    <x v="0"/>
    <s v="Peru"/>
    <s v="PANA AUTOS S.A."/>
    <x v="2"/>
    <x v="0"/>
    <s v="Ringo"/>
    <n v="57247"/>
    <n v="23"/>
    <x v="2"/>
    <x v="80"/>
    <n v="2489"/>
    <s v="Bajo"/>
  </r>
  <r>
    <x v="0"/>
    <s v="Peru"/>
    <s v="Lima Airport Partner"/>
    <x v="7"/>
    <x v="0"/>
    <s v="George"/>
    <n v="203539"/>
    <n v="39"/>
    <x v="0"/>
    <x v="76"/>
    <n v="5218.9487179999996"/>
    <s v="Alta"/>
  </r>
  <r>
    <x v="0"/>
    <s v="Peru"/>
    <s v="Maquillajes Unidos"/>
    <x v="1"/>
    <x v="1"/>
    <s v="Ringo"/>
    <n v="100741"/>
    <n v="26"/>
    <x v="0"/>
    <x v="81"/>
    <n v="3874.6538460000002"/>
    <s v="Media"/>
  </r>
  <r>
    <x v="0"/>
    <s v="Peru"/>
    <s v="SGS del Peru, S.A.C"/>
    <x v="4"/>
    <x v="0"/>
    <s v="John"/>
    <n v="150801"/>
    <n v="15"/>
    <x v="4"/>
    <x v="76"/>
    <n v="10053.4"/>
    <s v="Media"/>
  </r>
  <r>
    <x v="0"/>
    <s v="Peru"/>
    <s v="Mina Linda Gente"/>
    <x v="2"/>
    <x v="0"/>
    <s v="Ringo"/>
    <n v="85371"/>
    <n v="29"/>
    <x v="4"/>
    <x v="82"/>
    <n v="2943.8275859999999"/>
    <s v="Bajo"/>
  </r>
  <r>
    <x v="7"/>
    <s v="Peru"/>
    <s v="TELCO Internacional"/>
    <x v="6"/>
    <x v="0"/>
    <s v="John"/>
    <n v="155728"/>
    <n v="21"/>
    <x v="4"/>
    <x v="83"/>
    <n v="7415.6190479999996"/>
    <s v="Media"/>
  </r>
  <r>
    <x v="7"/>
    <s v="Peru"/>
    <s v="Maquillajes Unidos"/>
    <x v="1"/>
    <x v="1"/>
    <s v="Ringo"/>
    <n v="180268"/>
    <n v="39"/>
    <x v="2"/>
    <x v="81"/>
    <n v="4622.25641"/>
    <s v="Media"/>
  </r>
  <r>
    <x v="7"/>
    <s v="Peru"/>
    <s v="RIMAC Corp"/>
    <x v="1"/>
    <x v="1"/>
    <s v="John"/>
    <n v="137070"/>
    <n v="20"/>
    <x v="0"/>
    <x v="76"/>
    <n v="6853.5"/>
    <s v="Media"/>
  </r>
  <r>
    <x v="7"/>
    <s v="Peru"/>
    <s v="Ferrocarriles Centrales"/>
    <x v="3"/>
    <x v="0"/>
    <s v="Ringo"/>
    <n v="190459"/>
    <n v="34"/>
    <x v="0"/>
    <x v="79"/>
    <n v="5601.7352940000001"/>
    <s v="Media"/>
  </r>
  <r>
    <x v="7"/>
    <s v="Peru"/>
    <s v="Lima Airport Partner"/>
    <x v="7"/>
    <x v="0"/>
    <s v="George"/>
    <n v="187861"/>
    <n v="42"/>
    <x v="2"/>
    <x v="76"/>
    <n v="4472.8809520000004"/>
    <s v="Media"/>
  </r>
  <r>
    <x v="7"/>
    <s v="Peru"/>
    <s v="Lima Airport Partner"/>
    <x v="7"/>
    <x v="0"/>
    <s v="George"/>
    <n v="115051"/>
    <n v="17"/>
    <x v="4"/>
    <x v="76"/>
    <n v="6767.7058820000002"/>
    <s v="Media"/>
  </r>
  <r>
    <x v="7"/>
    <s v="Peru"/>
    <s v="Asociacion de Fondos de Pensiones"/>
    <x v="3"/>
    <x v="0"/>
    <s v="Ringo"/>
    <n v="75445"/>
    <n v="32"/>
    <x v="4"/>
    <x v="83"/>
    <n v="2357.65625"/>
    <s v="Bajo"/>
  </r>
  <r>
    <x v="7"/>
    <s v="Peru"/>
    <s v="Servicios Generales"/>
    <x v="2"/>
    <x v="1"/>
    <s v="Ringo"/>
    <n v="212526"/>
    <n v="41"/>
    <x v="2"/>
    <x v="76"/>
    <n v="5183.5609759999998"/>
    <s v="Alta"/>
  </r>
  <r>
    <x v="7"/>
    <s v="Peru"/>
    <s v="Sociedad de Mineria Nueva"/>
    <x v="6"/>
    <x v="0"/>
    <s v="John"/>
    <n v="233126"/>
    <n v="23"/>
    <x v="4"/>
    <x v="83"/>
    <n v="10135.913039999999"/>
    <s v="Alta"/>
  </r>
  <r>
    <x v="7"/>
    <s v="Peru"/>
    <s v="Radios Unidos por el pais"/>
    <x v="6"/>
    <x v="0"/>
    <s v="Ringo"/>
    <n v="53775"/>
    <n v="15"/>
    <x v="3"/>
    <x v="83"/>
    <n v="3585"/>
    <s v="Bajo"/>
  </r>
  <r>
    <x v="7"/>
    <s v="Peru"/>
    <s v="Lima Airport Partner"/>
    <x v="7"/>
    <x v="0"/>
    <s v="George"/>
    <n v="103188"/>
    <n v="32"/>
    <x v="0"/>
    <x v="76"/>
    <n v="3224.625"/>
    <s v="Media"/>
  </r>
  <r>
    <x v="7"/>
    <s v="Peru"/>
    <s v="Lima Airport Partner"/>
    <x v="7"/>
    <x v="0"/>
    <s v="George"/>
    <n v="80767"/>
    <n v="25"/>
    <x v="0"/>
    <x v="76"/>
    <n v="3230.68"/>
    <s v="Bajo"/>
  </r>
  <r>
    <x v="7"/>
    <s v="Peru"/>
    <s v="Banco Egipcio Nacional"/>
    <x v="5"/>
    <x v="1"/>
    <s v="Ringo"/>
    <n v="171381"/>
    <n v="15"/>
    <x v="1"/>
    <x v="83"/>
    <n v="11425.4"/>
    <s v="Media"/>
  </r>
  <r>
    <x v="7"/>
    <s v="Peru"/>
    <s v="Lima Airport Partner"/>
    <x v="7"/>
    <x v="0"/>
    <s v="George"/>
    <n v="224177"/>
    <n v="24"/>
    <x v="2"/>
    <x v="76"/>
    <n v="9340.7083330000005"/>
    <s v="Alta"/>
  </r>
  <r>
    <x v="7"/>
    <s v="Peru"/>
    <s v="Lima Airport Partner"/>
    <x v="7"/>
    <x v="0"/>
    <s v="George"/>
    <n v="59830"/>
    <n v="20"/>
    <x v="0"/>
    <x v="76"/>
    <n v="2991.5"/>
    <s v="Bajo"/>
  </r>
  <r>
    <x v="7"/>
    <s v="Peru"/>
    <s v="Unique, S.A."/>
    <x v="2"/>
    <x v="1"/>
    <s v="Ringo"/>
    <n v="53496"/>
    <n v="21"/>
    <x v="3"/>
    <x v="76"/>
    <n v="2547.4285709999999"/>
    <s v="Bajo"/>
  </r>
  <r>
    <x v="1"/>
    <s v="Peru"/>
    <s v="Sociedad de Mineria Nueva"/>
    <x v="3"/>
    <x v="0"/>
    <s v="Ringo"/>
    <n v="230086"/>
    <n v="28"/>
    <x v="4"/>
    <x v="76"/>
    <n v="8217.3571429999993"/>
    <s v="Alta"/>
  </r>
  <r>
    <x v="1"/>
    <s v="Peru"/>
    <s v="Lima Airport Partner"/>
    <x v="7"/>
    <x v="0"/>
    <s v="George"/>
    <n v="66815"/>
    <n v="29"/>
    <x v="0"/>
    <x v="76"/>
    <n v="2303.9655170000001"/>
    <s v="Bajo"/>
  </r>
  <r>
    <x v="1"/>
    <s v="Peru"/>
    <s v="Lima Airport Partner"/>
    <x v="7"/>
    <x v="0"/>
    <s v="George"/>
    <n v="119431"/>
    <n v="34"/>
    <x v="4"/>
    <x v="76"/>
    <n v="3512.6764710000002"/>
    <s v="Media"/>
  </r>
  <r>
    <x v="1"/>
    <s v="Peru"/>
    <s v="Lima Airport Partner"/>
    <x v="7"/>
    <x v="0"/>
    <s v="George"/>
    <n v="125421"/>
    <n v="30"/>
    <x v="0"/>
    <x v="76"/>
    <n v="4180.7"/>
    <s v="Media"/>
  </r>
  <r>
    <x v="1"/>
    <s v="Peru"/>
    <s v="BOTICAS &amp; SALUD S.A.C."/>
    <x v="3"/>
    <x v="0"/>
    <s v="Ringo"/>
    <n v="228766"/>
    <n v="24"/>
    <x v="4"/>
    <x v="83"/>
    <n v="9531.9166669999995"/>
    <s v="Alta"/>
  </r>
  <r>
    <x v="1"/>
    <s v="Peru"/>
    <s v="Minera Aventurera"/>
    <x v="1"/>
    <x v="1"/>
    <s v="John"/>
    <n v="249451"/>
    <n v="34"/>
    <x v="3"/>
    <x v="76"/>
    <n v="7336.7941179999998"/>
    <s v="Alta"/>
  </r>
  <r>
    <x v="1"/>
    <s v="Peru"/>
    <s v="Fabrica de Software"/>
    <x v="3"/>
    <x v="0"/>
    <s v="Ringo"/>
    <n v="217625"/>
    <n v="37"/>
    <x v="2"/>
    <x v="76"/>
    <n v="5881.7567570000001"/>
    <s v="Alta"/>
  </r>
  <r>
    <x v="1"/>
    <s v="Peru"/>
    <s v="Petrobras Energia Peru, S.A."/>
    <x v="7"/>
    <x v="0"/>
    <s v="John"/>
    <n v="131959"/>
    <n v="23"/>
    <x v="2"/>
    <x v="84"/>
    <n v="5737.3478260000002"/>
    <s v="Media"/>
  </r>
  <r>
    <x v="1"/>
    <s v="Peru"/>
    <s v="Lima Airport Partner"/>
    <x v="7"/>
    <x v="0"/>
    <s v="George"/>
    <n v="205930"/>
    <n v="38"/>
    <x v="0"/>
    <x v="76"/>
    <n v="5419.2105259999998"/>
    <s v="Alta"/>
  </r>
  <r>
    <x v="1"/>
    <s v="Peru"/>
    <s v="Ferrocarriles Centrales"/>
    <x v="3"/>
    <x v="0"/>
    <s v="Ringo"/>
    <n v="142568"/>
    <n v="17"/>
    <x v="0"/>
    <x v="79"/>
    <n v="8386.3529409999992"/>
    <s v="Media"/>
  </r>
  <r>
    <x v="1"/>
    <s v="Peru"/>
    <s v="Ferrocarriles Centrales"/>
    <x v="3"/>
    <x v="0"/>
    <s v="Ringo"/>
    <n v="150709"/>
    <n v="30"/>
    <x v="4"/>
    <x v="79"/>
    <n v="5023.6333329999998"/>
    <s v="Media"/>
  </r>
  <r>
    <x v="1"/>
    <s v="Peru"/>
    <s v="Sociedad de Mineria Nueva"/>
    <x v="6"/>
    <x v="0"/>
    <s v="Ringo"/>
    <n v="105066"/>
    <n v="39"/>
    <x v="4"/>
    <x v="83"/>
    <n v="2694"/>
    <s v="Media"/>
  </r>
  <r>
    <x v="1"/>
    <s v="Peru"/>
    <s v="Servicios Generales"/>
    <x v="1"/>
    <x v="1"/>
    <s v="Ringo"/>
    <n v="72691"/>
    <n v="32"/>
    <x v="4"/>
    <x v="76"/>
    <n v="2271.59375"/>
    <s v="Bajo"/>
  </r>
  <r>
    <x v="1"/>
    <s v="Peru"/>
    <s v="Asociacion de Fondos de Pensiones"/>
    <x v="7"/>
    <x v="0"/>
    <s v="Ringo"/>
    <n v="145150"/>
    <n v="42"/>
    <x v="3"/>
    <x v="83"/>
    <n v="3455.9523810000001"/>
    <s v="Media"/>
  </r>
  <r>
    <x v="1"/>
    <s v="Peru"/>
    <s v="Servicios Generales"/>
    <x v="1"/>
    <x v="1"/>
    <s v="Ringo"/>
    <n v="186297"/>
    <n v="36"/>
    <x v="4"/>
    <x v="76"/>
    <n v="5174.9166670000004"/>
    <s v="Media"/>
  </r>
  <r>
    <x v="1"/>
    <s v="Peru"/>
    <s v="Neptunia, S.A."/>
    <x v="3"/>
    <x v="0"/>
    <s v="Ringo"/>
    <n v="169649"/>
    <n v="28"/>
    <x v="4"/>
    <x v="76"/>
    <n v="6058.8928569999998"/>
    <s v="Media"/>
  </r>
  <r>
    <x v="2"/>
    <s v="Peru"/>
    <s v="Maquillajes Unidos"/>
    <x v="1"/>
    <x v="1"/>
    <s v="Ringo"/>
    <n v="114630"/>
    <n v="15"/>
    <x v="2"/>
    <x v="81"/>
    <n v="7642"/>
    <s v="Media"/>
  </r>
  <r>
    <x v="2"/>
    <s v="Peru"/>
    <s v="CLINICA INTERNACIONAL S.A."/>
    <x v="1"/>
    <x v="1"/>
    <s v="Ringo"/>
    <n v="150686"/>
    <n v="26"/>
    <x v="2"/>
    <x v="77"/>
    <n v="5795.6153850000001"/>
    <s v="Media"/>
  </r>
  <r>
    <x v="2"/>
    <s v="Peru"/>
    <s v="RIMAC Corp"/>
    <x v="1"/>
    <x v="1"/>
    <s v="Ringo"/>
    <n v="207351"/>
    <n v="26"/>
    <x v="1"/>
    <x v="76"/>
    <n v="7975.0384620000004"/>
    <s v="Alta"/>
  </r>
  <r>
    <x v="2"/>
    <s v="Peru"/>
    <s v="Lima Airport Partner"/>
    <x v="7"/>
    <x v="0"/>
    <s v="George"/>
    <n v="215420"/>
    <n v="33"/>
    <x v="2"/>
    <x v="76"/>
    <n v="6527.878788"/>
    <s v="Alta"/>
  </r>
  <r>
    <x v="2"/>
    <s v="Peru"/>
    <s v="ARPL Tecnologia Industrial S.A."/>
    <x v="4"/>
    <x v="0"/>
    <s v="John"/>
    <n v="216876"/>
    <n v="33"/>
    <x v="4"/>
    <x v="76"/>
    <n v="6572"/>
    <s v="Alta"/>
  </r>
  <r>
    <x v="2"/>
    <s v="Peru"/>
    <s v="Delosi, S.A."/>
    <x v="2"/>
    <x v="0"/>
    <s v="Ringo"/>
    <n v="71356"/>
    <n v="39"/>
    <x v="4"/>
    <x v="83"/>
    <n v="1829.641026"/>
    <s v="Bajo"/>
  </r>
  <r>
    <x v="2"/>
    <s v="Peru"/>
    <s v="Delosi, S.A."/>
    <x v="2"/>
    <x v="0"/>
    <s v="Ringo"/>
    <n v="160149"/>
    <n v="27"/>
    <x v="4"/>
    <x v="83"/>
    <n v="5931.4444439999997"/>
    <s v="Media"/>
  </r>
  <r>
    <x v="2"/>
    <s v="Peru"/>
    <s v="Lima Airport Partner"/>
    <x v="7"/>
    <x v="0"/>
    <s v="George"/>
    <n v="196395"/>
    <n v="26"/>
    <x v="0"/>
    <x v="76"/>
    <n v="7553.6538460000002"/>
    <s v="Media"/>
  </r>
  <r>
    <x v="2"/>
    <s v="Peru"/>
    <s v="Banco Interno"/>
    <x v="3"/>
    <x v="0"/>
    <s v="Ringo"/>
    <n v="129885"/>
    <n v="37"/>
    <x v="4"/>
    <x v="76"/>
    <n v="3510.405405"/>
    <s v="Media"/>
  </r>
  <r>
    <x v="3"/>
    <s v="Peru"/>
    <s v="Pluspetrol Peru Corporation, S.A."/>
    <x v="3"/>
    <x v="0"/>
    <s v="Ringo"/>
    <n v="238764"/>
    <n v="35"/>
    <x v="4"/>
    <x v="76"/>
    <n v="6821.828571"/>
    <s v="Alta"/>
  </r>
  <r>
    <x v="3"/>
    <s v="Peru"/>
    <s v="Periodicos Nuevos"/>
    <x v="3"/>
    <x v="0"/>
    <s v="Ringo"/>
    <n v="157787"/>
    <n v="25"/>
    <x v="1"/>
    <x v="76"/>
    <n v="6311.48"/>
    <s v="Media"/>
  </r>
  <r>
    <x v="3"/>
    <s v="Peru"/>
    <s v="TELCO Internacional"/>
    <x v="1"/>
    <x v="1"/>
    <s v="Ringo"/>
    <n v="214993"/>
    <n v="40"/>
    <x v="3"/>
    <x v="77"/>
    <n v="5374.8249999999998"/>
    <s v="Alta"/>
  </r>
  <r>
    <x v="3"/>
    <s v="Peru"/>
    <s v="PANA AUTOS S.A."/>
    <x v="2"/>
    <x v="0"/>
    <s v="Ringo"/>
    <n v="219452"/>
    <n v="15"/>
    <x v="2"/>
    <x v="80"/>
    <n v="14630.133330000001"/>
    <s v="Alta"/>
  </r>
  <r>
    <x v="4"/>
    <s v="Peru"/>
    <s v="Banco Egipcio Nacional"/>
    <x v="8"/>
    <x v="1"/>
    <s v="Ringo"/>
    <n v="188855"/>
    <n v="23"/>
    <x v="3"/>
    <x v="85"/>
    <n v="8211.0869569999995"/>
    <s v="Media"/>
  </r>
  <r>
    <x v="4"/>
    <s v="Peru"/>
    <s v="Lima Airport Partner"/>
    <x v="7"/>
    <x v="0"/>
    <s v="George"/>
    <n v="147550"/>
    <n v="16"/>
    <x v="0"/>
    <x v="76"/>
    <n v="9221.875"/>
    <s v="Media"/>
  </r>
  <r>
    <x v="4"/>
    <s v="Peru"/>
    <s v="Lima Airport Partner"/>
    <x v="7"/>
    <x v="0"/>
    <s v="George"/>
    <n v="196803"/>
    <n v="20"/>
    <x v="0"/>
    <x v="76"/>
    <n v="9840.15"/>
    <s v="Media"/>
  </r>
  <r>
    <x v="4"/>
    <s v="Peru"/>
    <s v="Grandes Montañas"/>
    <x v="2"/>
    <x v="1"/>
    <s v="Ringo"/>
    <n v="64333"/>
    <n v="16"/>
    <x v="3"/>
    <x v="76"/>
    <n v="4020.8125"/>
    <s v="Bajo"/>
  </r>
  <r>
    <x v="4"/>
    <s v="Peru"/>
    <s v="Lima Airport Partner"/>
    <x v="7"/>
    <x v="0"/>
    <s v="George"/>
    <n v="96521"/>
    <n v="24"/>
    <x v="2"/>
    <x v="76"/>
    <n v="4021.708333"/>
    <s v="Bajo"/>
  </r>
  <r>
    <x v="4"/>
    <s v="Peru"/>
    <s v="Lima Airport Partner"/>
    <x v="7"/>
    <x v="0"/>
    <s v="George"/>
    <n v="174277"/>
    <n v="38"/>
    <x v="4"/>
    <x v="76"/>
    <n v="4586.2368420000003"/>
    <s v="Media"/>
  </r>
  <r>
    <x v="4"/>
    <s v="Peru"/>
    <s v="Ferrocarriles Centrales"/>
    <x v="3"/>
    <x v="0"/>
    <s v="Ringo"/>
    <n v="52880"/>
    <n v="38"/>
    <x v="2"/>
    <x v="79"/>
    <n v="1391.578947"/>
    <s v="Bajo"/>
  </r>
  <r>
    <x v="4"/>
    <s v="Peru"/>
    <s v="Minera de Cobre Supremo"/>
    <x v="1"/>
    <x v="1"/>
    <s v="Ringo"/>
    <n v="208373"/>
    <n v="20"/>
    <x v="1"/>
    <x v="77"/>
    <n v="10418.65"/>
    <s v="Alta"/>
  </r>
  <r>
    <x v="4"/>
    <s v="Peru"/>
    <s v="Maquillajes Unidos"/>
    <x v="1"/>
    <x v="1"/>
    <s v="Ringo"/>
    <n v="88986"/>
    <n v="33"/>
    <x v="0"/>
    <x v="81"/>
    <n v="2696.5454549999999"/>
    <s v="Bajo"/>
  </r>
  <r>
    <x v="4"/>
    <s v="Peru"/>
    <s v="TELCO Internacional"/>
    <x v="1"/>
    <x v="1"/>
    <s v="Ringo"/>
    <n v="240673"/>
    <n v="22"/>
    <x v="4"/>
    <x v="77"/>
    <n v="10939.68182"/>
    <s v="Alta"/>
  </r>
  <r>
    <x v="5"/>
    <s v="Peru"/>
    <s v="Tractores Unidos"/>
    <x v="6"/>
    <x v="0"/>
    <s v="Ringo"/>
    <n v="115114"/>
    <n v="18"/>
    <x v="2"/>
    <x v="86"/>
    <n v="6395.2222220000003"/>
    <s v="Media"/>
  </r>
  <r>
    <x v="5"/>
    <s v="Peru"/>
    <s v="Radios Unidos por el pais"/>
    <x v="6"/>
    <x v="0"/>
    <s v="John"/>
    <n v="103657"/>
    <n v="40"/>
    <x v="3"/>
    <x v="86"/>
    <n v="2591.4250000000002"/>
    <s v="Media"/>
  </r>
  <r>
    <x v="6"/>
    <s v="Peru"/>
    <s v="RIMAC Corp"/>
    <x v="1"/>
    <x v="1"/>
    <s v="John"/>
    <n v="190412"/>
    <n v="41"/>
    <x v="0"/>
    <x v="86"/>
    <n v="4644.1951220000001"/>
    <s v="Media"/>
  </r>
  <r>
    <x v="6"/>
    <s v="Peru"/>
    <s v="Compañia Minera Poderosa, S.A."/>
    <x v="7"/>
    <x v="0"/>
    <s v="Ringo"/>
    <n v="105612"/>
    <n v="17"/>
    <x v="4"/>
    <x v="86"/>
    <n v="6212.4705880000001"/>
    <s v="Media"/>
  </r>
  <r>
    <x v="6"/>
    <s v="Peru"/>
    <s v="Automotores Distribuidos"/>
    <x v="7"/>
    <x v="0"/>
    <s v="Ringo"/>
    <n v="95576"/>
    <n v="19"/>
    <x v="3"/>
    <x v="86"/>
    <n v="5030.3157890000002"/>
    <s v="Bajo"/>
  </r>
  <r>
    <x v="6"/>
    <s v="Peru"/>
    <s v="Banco Interno"/>
    <x v="2"/>
    <x v="1"/>
    <s v="John"/>
    <n v="204578"/>
    <n v="22"/>
    <x v="3"/>
    <x v="87"/>
    <n v="9299"/>
    <s v="Alta"/>
  </r>
  <r>
    <x v="6"/>
    <s v="Peru"/>
    <s v="Banco Maya"/>
    <x v="4"/>
    <x v="0"/>
    <s v="Ringo"/>
    <n v="132888"/>
    <n v="16"/>
    <x v="4"/>
    <x v="86"/>
    <n v="8305.5"/>
    <s v="Media"/>
  </r>
  <r>
    <x v="6"/>
    <s v="Peru"/>
    <s v="IFH Peru LTD"/>
    <x v="4"/>
    <x v="0"/>
    <s v="Ringo"/>
    <n v="170772"/>
    <n v="25"/>
    <x v="2"/>
    <x v="86"/>
    <n v="6830.88"/>
    <s v="Media"/>
  </r>
  <r>
    <x v="6"/>
    <s v="Peru"/>
    <s v="Diners Club Peru, S.A"/>
    <x v="7"/>
    <x v="0"/>
    <s v="Ringo"/>
    <n v="223804"/>
    <n v="15"/>
    <x v="0"/>
    <x v="88"/>
    <n v="14920.266670000001"/>
    <s v="Alta"/>
  </r>
  <r>
    <x v="6"/>
    <s v="Peru"/>
    <s v="Diners Club Peru, S.A"/>
    <x v="7"/>
    <x v="0"/>
    <s v="Ringo"/>
    <n v="65521"/>
    <n v="26"/>
    <x v="4"/>
    <x v="88"/>
    <n v="2520.038462"/>
    <s v="Bajo"/>
  </r>
  <r>
    <x v="0"/>
    <s v="Peru"/>
    <s v="Sodimac Peru, S.A."/>
    <x v="5"/>
    <x v="1"/>
    <s v="Ringo"/>
    <n v="121684"/>
    <n v="20"/>
    <x v="2"/>
    <x v="86"/>
    <n v="6084.2"/>
    <s v="Media"/>
  </r>
  <r>
    <x v="0"/>
    <s v="Peru"/>
    <s v="Banco Interno"/>
    <x v="2"/>
    <x v="1"/>
    <s v="John"/>
    <n v="223849"/>
    <n v="15"/>
    <x v="0"/>
    <x v="87"/>
    <n v="14923.266670000001"/>
    <s v="Alta"/>
  </r>
  <r>
    <x v="0"/>
    <s v="Peru"/>
    <s v="Gloria"/>
    <x v="6"/>
    <x v="0"/>
    <s v="George"/>
    <n v="179295"/>
    <n v="33"/>
    <x v="4"/>
    <x v="86"/>
    <n v="5433.181818"/>
    <s v="Media"/>
  </r>
  <r>
    <x v="0"/>
    <s v="Peru"/>
    <s v="TELCO Internacional"/>
    <x v="1"/>
    <x v="1"/>
    <s v="Ringo"/>
    <n v="233181"/>
    <n v="19"/>
    <x v="3"/>
    <x v="86"/>
    <n v="12272.684209999999"/>
    <s v="Alta"/>
  </r>
  <r>
    <x v="0"/>
    <s v="Peru"/>
    <s v="SCOTIABANK PERU"/>
    <x v="1"/>
    <x v="1"/>
    <s v="Ringo"/>
    <n v="161549"/>
    <n v="32"/>
    <x v="0"/>
    <x v="86"/>
    <n v="5048.40625"/>
    <s v="Media"/>
  </r>
  <r>
    <x v="0"/>
    <s v="Peru"/>
    <s v="Delosi, S.A."/>
    <x v="6"/>
    <x v="0"/>
    <s v="John"/>
    <n v="132445"/>
    <n v="26"/>
    <x v="3"/>
    <x v="89"/>
    <n v="5094.0384620000004"/>
    <s v="Media"/>
  </r>
  <r>
    <x v="0"/>
    <s v="Peru"/>
    <s v="IFH Peru LTD"/>
    <x v="4"/>
    <x v="0"/>
    <s v="Ringo"/>
    <n v="236889"/>
    <n v="30"/>
    <x v="4"/>
    <x v="86"/>
    <n v="7896.3"/>
    <s v="Alta"/>
  </r>
  <r>
    <x v="0"/>
    <s v="Peru"/>
    <s v="Radios Unidos por el pais"/>
    <x v="4"/>
    <x v="0"/>
    <s v="John"/>
    <n v="143753"/>
    <n v="32"/>
    <x v="2"/>
    <x v="90"/>
    <n v="4492.28125"/>
    <s v="Media"/>
  </r>
  <r>
    <x v="0"/>
    <s v="Peru"/>
    <s v="Banco Maya"/>
    <x v="4"/>
    <x v="0"/>
    <s v="Ringo"/>
    <n v="55401"/>
    <n v="22"/>
    <x v="2"/>
    <x v="91"/>
    <n v="2518.227273"/>
    <s v="Bajo"/>
  </r>
  <r>
    <x v="0"/>
    <s v="Peru"/>
    <s v="Delosi, S.A."/>
    <x v="4"/>
    <x v="0"/>
    <s v="Ringo"/>
    <n v="152333"/>
    <n v="32"/>
    <x v="0"/>
    <x v="86"/>
    <n v="4760.40625"/>
    <s v="Media"/>
  </r>
  <r>
    <x v="7"/>
    <s v="Peru"/>
    <s v="Synapsis del Peru"/>
    <x v="6"/>
    <x v="0"/>
    <s v="Ringo"/>
    <n v="238115"/>
    <n v="38"/>
    <x v="4"/>
    <x v="87"/>
    <n v="6266.1842109999998"/>
    <s v="Alta"/>
  </r>
  <r>
    <x v="7"/>
    <s v="Peru"/>
    <s v="San Martin Inc"/>
    <x v="7"/>
    <x v="0"/>
    <s v="Ringo"/>
    <n v="101717"/>
    <n v="29"/>
    <x v="0"/>
    <x v="92"/>
    <n v="3507.482759"/>
    <s v="Media"/>
  </r>
  <r>
    <x v="7"/>
    <s v="Peru"/>
    <s v="Ajies Rellenos Inc."/>
    <x v="7"/>
    <x v="0"/>
    <s v="Ringo"/>
    <n v="205856"/>
    <n v="41"/>
    <x v="4"/>
    <x v="93"/>
    <n v="5020.8780489999999"/>
    <s v="Alta"/>
  </r>
  <r>
    <x v="7"/>
    <s v="Peru"/>
    <s v="Banco Interno"/>
    <x v="2"/>
    <x v="1"/>
    <s v="John"/>
    <n v="93389"/>
    <n v="28"/>
    <x v="0"/>
    <x v="87"/>
    <n v="3335.3214290000001"/>
    <s v="Bajo"/>
  </r>
  <r>
    <x v="7"/>
    <s v="Peru"/>
    <s v="Banco Interno"/>
    <x v="2"/>
    <x v="1"/>
    <s v="John"/>
    <n v="160212"/>
    <n v="21"/>
    <x v="0"/>
    <x v="87"/>
    <n v="7629.1428569999998"/>
    <s v="Media"/>
  </r>
  <r>
    <x v="7"/>
    <s v="Peru"/>
    <s v="Banco Interno"/>
    <x v="2"/>
    <x v="1"/>
    <s v="John"/>
    <n v="125180"/>
    <n v="16"/>
    <x v="2"/>
    <x v="87"/>
    <n v="7823.75"/>
    <s v="Media"/>
  </r>
  <r>
    <x v="7"/>
    <s v="Peru"/>
    <s v="Sociedad de Mineria Nueva"/>
    <x v="3"/>
    <x v="0"/>
    <s v="George"/>
    <n v="145196"/>
    <n v="30"/>
    <x v="0"/>
    <x v="94"/>
    <n v="4839.8666670000002"/>
    <s v="Media"/>
  </r>
  <r>
    <x v="7"/>
    <s v="Peru"/>
    <s v="Radios Unidos por el pais"/>
    <x v="6"/>
    <x v="0"/>
    <s v="John"/>
    <n v="58356"/>
    <n v="16"/>
    <x v="2"/>
    <x v="94"/>
    <n v="3647.25"/>
    <s v="Bajo"/>
  </r>
  <r>
    <x v="7"/>
    <s v="Peru"/>
    <s v="Minera Aventurera"/>
    <x v="1"/>
    <x v="1"/>
    <s v="John"/>
    <n v="197046"/>
    <n v="28"/>
    <x v="0"/>
    <x v="95"/>
    <n v="7037.3571430000002"/>
    <s v="Media"/>
  </r>
  <r>
    <x v="7"/>
    <s v="Peru"/>
    <s v="Alcaldia Regional"/>
    <x v="7"/>
    <x v="0"/>
    <s v="John"/>
    <n v="80082"/>
    <n v="19"/>
    <x v="3"/>
    <x v="90"/>
    <n v="4214.8421049999997"/>
    <s v="Bajo"/>
  </r>
  <r>
    <x v="7"/>
    <s v="Peru"/>
    <s v="CLINICA INTERNACIONAL S.A."/>
    <x v="1"/>
    <x v="1"/>
    <s v="John"/>
    <n v="152845"/>
    <n v="17"/>
    <x v="4"/>
    <x v="95"/>
    <n v="8990.8823530000009"/>
    <s v="Media"/>
  </r>
  <r>
    <x v="7"/>
    <s v="Peru"/>
    <s v="Compañia Minera Poderosa, S.A."/>
    <x v="7"/>
    <x v="0"/>
    <s v="Ringo"/>
    <n v="191117"/>
    <n v="33"/>
    <x v="2"/>
    <x v="86"/>
    <n v="5791.424242"/>
    <s v="Media"/>
  </r>
  <r>
    <x v="7"/>
    <s v="Peru"/>
    <s v="Delosi, S.A."/>
    <x v="4"/>
    <x v="0"/>
    <s v="Ringo"/>
    <n v="164288"/>
    <n v="25"/>
    <x v="0"/>
    <x v="86"/>
    <n v="6571.52"/>
    <s v="Media"/>
  </r>
  <r>
    <x v="7"/>
    <s v="Peru"/>
    <s v="Sociedad de Mineria Nueva"/>
    <x v="2"/>
    <x v="0"/>
    <s v="George"/>
    <n v="63188"/>
    <n v="33"/>
    <x v="0"/>
    <x v="90"/>
    <n v="1914.787879"/>
    <s v="Bajo"/>
  </r>
  <r>
    <x v="7"/>
    <s v="Peru"/>
    <s v="Avalora S.A.C"/>
    <x v="3"/>
    <x v="0"/>
    <s v="Ringo"/>
    <n v="109687"/>
    <n v="18"/>
    <x v="1"/>
    <x v="86"/>
    <n v="6093.7222220000003"/>
    <s v="Media"/>
  </r>
  <r>
    <x v="7"/>
    <s v="Peru"/>
    <s v="Banco Maya"/>
    <x v="4"/>
    <x v="0"/>
    <s v="Ringo"/>
    <n v="190056"/>
    <n v="24"/>
    <x v="2"/>
    <x v="86"/>
    <n v="7919"/>
    <s v="Media"/>
  </r>
  <r>
    <x v="7"/>
    <s v="Peru"/>
    <s v="Diners Club Peru, S.A"/>
    <x v="7"/>
    <x v="0"/>
    <s v="Ringo"/>
    <n v="114059"/>
    <n v="42"/>
    <x v="0"/>
    <x v="88"/>
    <n v="2715.6904760000002"/>
    <s v="Media"/>
  </r>
  <r>
    <x v="7"/>
    <s v="Peru"/>
    <s v="Diners Club Peru, S.A"/>
    <x v="7"/>
    <x v="0"/>
    <s v="Ringo"/>
    <n v="94117"/>
    <n v="34"/>
    <x v="2"/>
    <x v="88"/>
    <n v="2768.1470589999999"/>
    <s v="Bajo"/>
  </r>
  <r>
    <x v="7"/>
    <s v="Peru"/>
    <s v="Hermes Transportes Blindados S.A."/>
    <x v="4"/>
    <x v="0"/>
    <s v="Ringo"/>
    <n v="193459"/>
    <n v="30"/>
    <x v="2"/>
    <x v="86"/>
    <n v="6448.6333329999998"/>
    <s v="Media"/>
  </r>
  <r>
    <x v="7"/>
    <s v="Peru"/>
    <s v="IFH Peru LTD"/>
    <x v="2"/>
    <x v="1"/>
    <s v="John"/>
    <n v="198537"/>
    <n v="25"/>
    <x v="3"/>
    <x v="86"/>
    <n v="7941.48"/>
    <s v="Media"/>
  </r>
  <r>
    <x v="7"/>
    <s v="Peru"/>
    <s v="Diners Club Peru, S.A"/>
    <x v="7"/>
    <x v="0"/>
    <s v="Ringo"/>
    <n v="97698"/>
    <n v="15"/>
    <x v="0"/>
    <x v="88"/>
    <n v="6513.2"/>
    <s v="Bajo"/>
  </r>
  <r>
    <x v="7"/>
    <s v="Peru"/>
    <s v="COM S.A."/>
    <x v="7"/>
    <x v="0"/>
    <s v="Ringo"/>
    <n v="113698"/>
    <n v="24"/>
    <x v="4"/>
    <x v="86"/>
    <n v="4737.4166670000004"/>
    <s v="Media"/>
  </r>
  <r>
    <x v="7"/>
    <s v="Peru"/>
    <s v="JJC Contratistas"/>
    <x v="3"/>
    <x v="0"/>
    <s v="Ringo"/>
    <n v="71482"/>
    <n v="36"/>
    <x v="1"/>
    <x v="86"/>
    <n v="1985.6111109999999"/>
    <s v="Bajo"/>
  </r>
  <r>
    <x v="7"/>
    <s v="Peru"/>
    <s v="Hermes Transportes Blindados S.A."/>
    <x v="6"/>
    <x v="0"/>
    <s v="Ringo"/>
    <n v="245579"/>
    <n v="32"/>
    <x v="0"/>
    <x v="91"/>
    <n v="7674.34375"/>
    <s v="Alta"/>
  </r>
  <r>
    <x v="7"/>
    <s v="Peru"/>
    <s v="San Martin Inc"/>
    <x v="7"/>
    <x v="0"/>
    <s v="Ringo"/>
    <n v="226790"/>
    <n v="27"/>
    <x v="0"/>
    <x v="92"/>
    <n v="8399.6296299999995"/>
    <s v="Alta"/>
  </r>
  <r>
    <x v="7"/>
    <s v="Peru"/>
    <s v="CLINICA INTERNACIONAL S.A."/>
    <x v="1"/>
    <x v="1"/>
    <s v="John"/>
    <n v="209688"/>
    <n v="29"/>
    <x v="0"/>
    <x v="95"/>
    <n v="7230.6206899999997"/>
    <s v="Alta"/>
  </r>
  <r>
    <x v="7"/>
    <s v="Peru"/>
    <s v="IFH Peru LTD"/>
    <x v="5"/>
    <x v="1"/>
    <s v="John"/>
    <n v="91011"/>
    <n v="29"/>
    <x v="0"/>
    <x v="86"/>
    <n v="3138.3103449999999"/>
    <s v="Bajo"/>
  </r>
  <r>
    <x v="7"/>
    <s v="Peru"/>
    <s v="NEXTEL PERU S.A."/>
    <x v="1"/>
    <x v="1"/>
    <s v="John"/>
    <n v="81190"/>
    <n v="21"/>
    <x v="2"/>
    <x v="86"/>
    <n v="3866.1904760000002"/>
    <s v="Bajo"/>
  </r>
  <r>
    <x v="7"/>
    <s v="Peru"/>
    <s v="Banco Maya"/>
    <x v="4"/>
    <x v="0"/>
    <s v="Ringo"/>
    <n v="138161"/>
    <n v="28"/>
    <x v="0"/>
    <x v="91"/>
    <n v="4934.3214289999996"/>
    <s v="Media"/>
  </r>
  <r>
    <x v="7"/>
    <s v="Peru"/>
    <s v="Gloria"/>
    <x v="6"/>
    <x v="0"/>
    <s v="John"/>
    <n v="201236"/>
    <n v="35"/>
    <x v="4"/>
    <x v="86"/>
    <n v="5749.6"/>
    <s v="Alta"/>
  </r>
  <r>
    <x v="7"/>
    <s v="Peru"/>
    <s v="SCOTIABANK PERU"/>
    <x v="1"/>
    <x v="1"/>
    <s v="Ringo"/>
    <n v="103222"/>
    <n v="22"/>
    <x v="1"/>
    <x v="96"/>
    <n v="4691.9090910000004"/>
    <s v="Media"/>
  </r>
  <r>
    <x v="7"/>
    <s v="Peru"/>
    <s v="Hermes Transportes Blindados S.A."/>
    <x v="6"/>
    <x v="0"/>
    <s v="Ringo"/>
    <n v="145586"/>
    <n v="38"/>
    <x v="4"/>
    <x v="91"/>
    <n v="3831.2105259999998"/>
    <s v="Media"/>
  </r>
  <r>
    <x v="7"/>
    <s v="Peru"/>
    <s v="San Martin Inc"/>
    <x v="7"/>
    <x v="0"/>
    <s v="Ringo"/>
    <n v="201274"/>
    <n v="31"/>
    <x v="2"/>
    <x v="92"/>
    <n v="6492.7096769999998"/>
    <s v="Alta"/>
  </r>
  <r>
    <x v="7"/>
    <s v="Peru"/>
    <s v="Diners Club Peru, S.A"/>
    <x v="7"/>
    <x v="0"/>
    <s v="Ringo"/>
    <n v="86028"/>
    <n v="23"/>
    <x v="0"/>
    <x v="88"/>
    <n v="3740.3478260000002"/>
    <s v="Bajo"/>
  </r>
  <r>
    <x v="7"/>
    <s v="Peru"/>
    <s v="Diners Club Peru, S.A"/>
    <x v="7"/>
    <x v="0"/>
    <s v="Ringo"/>
    <n v="229548"/>
    <n v="36"/>
    <x v="0"/>
    <x v="88"/>
    <n v="6376.3333329999996"/>
    <s v="Alta"/>
  </r>
  <r>
    <x v="7"/>
    <s v="Peru"/>
    <s v="NEXTEL PERU S.A."/>
    <x v="1"/>
    <x v="1"/>
    <s v="John"/>
    <n v="80726"/>
    <n v="38"/>
    <x v="0"/>
    <x v="86"/>
    <n v="2124.3684210000001"/>
    <s v="Bajo"/>
  </r>
  <r>
    <x v="7"/>
    <s v="Peru"/>
    <s v="Banco Interno"/>
    <x v="2"/>
    <x v="1"/>
    <s v="John"/>
    <n v="111874"/>
    <n v="18"/>
    <x v="0"/>
    <x v="87"/>
    <n v="6215.2222220000003"/>
    <s v="Media"/>
  </r>
  <r>
    <x v="7"/>
    <s v="Peru"/>
    <s v="Banco Interno"/>
    <x v="2"/>
    <x v="1"/>
    <s v="John"/>
    <n v="68209"/>
    <n v="17"/>
    <x v="2"/>
    <x v="87"/>
    <n v="4012.2941179999998"/>
    <s v="Bajo"/>
  </r>
  <r>
    <x v="7"/>
    <s v="Peru"/>
    <s v="INCA TOPS S.A."/>
    <x v="3"/>
    <x v="0"/>
    <s v="Ringo"/>
    <n v="122294"/>
    <n v="24"/>
    <x v="2"/>
    <x v="86"/>
    <n v="5095.5833329999996"/>
    <s v="Media"/>
  </r>
  <r>
    <x v="7"/>
    <s v="Peru"/>
    <s v="JJC Contratistas"/>
    <x v="3"/>
    <x v="0"/>
    <s v="Ringo"/>
    <n v="100516"/>
    <n v="31"/>
    <x v="1"/>
    <x v="86"/>
    <n v="3242.4516130000002"/>
    <s v="Media"/>
  </r>
  <r>
    <x v="7"/>
    <s v="Peru"/>
    <s v="CEMENTO SUR S.A."/>
    <x v="6"/>
    <x v="0"/>
    <s v="Ringo"/>
    <n v="167858"/>
    <n v="31"/>
    <x v="1"/>
    <x v="86"/>
    <n v="5414.7741939999996"/>
    <s v="Media"/>
  </r>
  <r>
    <x v="7"/>
    <s v="Peru"/>
    <s v="Hermes Transportes Blindados S.A."/>
    <x v="6"/>
    <x v="0"/>
    <s v="Ringo"/>
    <n v="230870"/>
    <n v="33"/>
    <x v="2"/>
    <x v="91"/>
    <n v="6996.060606"/>
    <s v="Alta"/>
  </r>
  <r>
    <x v="7"/>
    <s v="Peru"/>
    <s v="Banco Interno"/>
    <x v="2"/>
    <x v="1"/>
    <s v="John"/>
    <n v="94014"/>
    <n v="40"/>
    <x v="3"/>
    <x v="87"/>
    <n v="2350.35"/>
    <s v="Bajo"/>
  </r>
  <r>
    <x v="7"/>
    <s v="Peru"/>
    <s v="Banco Interno"/>
    <x v="2"/>
    <x v="1"/>
    <s v="John"/>
    <n v="117686"/>
    <n v="30"/>
    <x v="2"/>
    <x v="87"/>
    <n v="3922.8666669999998"/>
    <s v="Media"/>
  </r>
  <r>
    <x v="7"/>
    <s v="Peru"/>
    <s v="Sociedad de Mineria Nueva"/>
    <x v="2"/>
    <x v="0"/>
    <s v="George"/>
    <n v="233373"/>
    <n v="27"/>
    <x v="2"/>
    <x v="90"/>
    <n v="8643.4444440000007"/>
    <s v="Alta"/>
  </r>
  <r>
    <x v="1"/>
    <s v="Peru"/>
    <s v="Radios Unidos por el pais"/>
    <x v="4"/>
    <x v="0"/>
    <s v="Ringo"/>
    <n v="186381"/>
    <n v="30"/>
    <x v="4"/>
    <x v="97"/>
    <n v="6212.7"/>
    <s v="Media"/>
  </r>
  <r>
    <x v="1"/>
    <s v="Peru"/>
    <s v="Radios Unidos por el pais"/>
    <x v="4"/>
    <x v="0"/>
    <s v="John"/>
    <n v="224371"/>
    <n v="31"/>
    <x v="4"/>
    <x v="86"/>
    <n v="7237.7741939999996"/>
    <s v="Alta"/>
  </r>
  <r>
    <x v="1"/>
    <s v="Peru"/>
    <s v="Minera Aventurera"/>
    <x v="1"/>
    <x v="1"/>
    <s v="John"/>
    <n v="122115"/>
    <n v="26"/>
    <x v="0"/>
    <x v="95"/>
    <n v="4696.7307689999998"/>
    <s v="Media"/>
  </r>
  <r>
    <x v="1"/>
    <s v="Peru"/>
    <s v="DROKASA PERU S.A."/>
    <x v="6"/>
    <x v="0"/>
    <s v="Ringo"/>
    <n v="60955"/>
    <n v="36"/>
    <x v="2"/>
    <x v="86"/>
    <n v="1693.194444"/>
    <s v="Bajo"/>
  </r>
  <r>
    <x v="1"/>
    <s v="Peru"/>
    <s v="San Martin Inc"/>
    <x v="7"/>
    <x v="0"/>
    <s v="Ringo"/>
    <n v="151611"/>
    <n v="37"/>
    <x v="4"/>
    <x v="92"/>
    <n v="4097.5945949999996"/>
    <s v="Media"/>
  </r>
  <r>
    <x v="1"/>
    <s v="Peru"/>
    <s v="San Martin Inc"/>
    <x v="7"/>
    <x v="0"/>
    <s v="Ringo"/>
    <n v="202204"/>
    <n v="19"/>
    <x v="2"/>
    <x v="92"/>
    <n v="10642.315790000001"/>
    <s v="Alta"/>
  </r>
  <r>
    <x v="1"/>
    <s v="Peru"/>
    <s v="CLINICA INTERNACIONAL S.A."/>
    <x v="1"/>
    <x v="1"/>
    <s v="John"/>
    <n v="60866"/>
    <n v="34"/>
    <x v="3"/>
    <x v="95"/>
    <n v="1790.176471"/>
    <s v="Bajo"/>
  </r>
  <r>
    <x v="1"/>
    <s v="Peru"/>
    <s v="Minera Hatun Exitokuna"/>
    <x v="3"/>
    <x v="0"/>
    <s v="Ringo"/>
    <n v="164202"/>
    <n v="15"/>
    <x v="1"/>
    <x v="86"/>
    <n v="10946.8"/>
    <s v="Media"/>
  </r>
  <r>
    <x v="1"/>
    <s v="Peru"/>
    <s v="Hoteles Corp"/>
    <x v="6"/>
    <x v="0"/>
    <s v="Ringo"/>
    <n v="88652"/>
    <n v="36"/>
    <x v="2"/>
    <x v="95"/>
    <n v="2462.5555559999998"/>
    <s v="Bajo"/>
  </r>
  <r>
    <x v="1"/>
    <s v="Peru"/>
    <s v="Hermes Transportes Blindados S.A."/>
    <x v="6"/>
    <x v="0"/>
    <s v="Ringo"/>
    <n v="110701"/>
    <n v="42"/>
    <x v="0"/>
    <x v="91"/>
    <n v="2635.7380950000002"/>
    <s v="Media"/>
  </r>
  <r>
    <x v="1"/>
    <s v="Peru"/>
    <s v="IFH Peru LTD"/>
    <x v="4"/>
    <x v="0"/>
    <s v="Ringo"/>
    <n v="234270"/>
    <n v="18"/>
    <x v="0"/>
    <x v="86"/>
    <n v="13015"/>
    <s v="Alta"/>
  </r>
  <r>
    <x v="1"/>
    <s v="Peru"/>
    <s v="IFH Peru LTD"/>
    <x v="4"/>
    <x v="0"/>
    <s v="Ringo"/>
    <n v="214990"/>
    <n v="16"/>
    <x v="2"/>
    <x v="86"/>
    <n v="13436.875"/>
    <s v="Alta"/>
  </r>
  <r>
    <x v="1"/>
    <s v="Peru"/>
    <s v="Diners Club Peru, S.A"/>
    <x v="7"/>
    <x v="0"/>
    <s v="Ringo"/>
    <n v="123954"/>
    <n v="29"/>
    <x v="0"/>
    <x v="88"/>
    <n v="4274.2758620000004"/>
    <s v="Media"/>
  </r>
  <r>
    <x v="1"/>
    <s v="Peru"/>
    <s v="Diners Club Peru, S.A"/>
    <x v="7"/>
    <x v="0"/>
    <s v="Ringo"/>
    <n v="220017"/>
    <n v="29"/>
    <x v="2"/>
    <x v="88"/>
    <n v="7586.793103"/>
    <s v="Alta"/>
  </r>
  <r>
    <x v="1"/>
    <s v="Peru"/>
    <s v="CLINICA INTERNACIONAL S.A."/>
    <x v="1"/>
    <x v="1"/>
    <s v="John"/>
    <n v="236382"/>
    <n v="18"/>
    <x v="2"/>
    <x v="95"/>
    <n v="13132.333329999999"/>
    <s v="Alta"/>
  </r>
  <r>
    <x v="1"/>
    <s v="Peru"/>
    <s v="Compañia Minera Poderosa, S.A."/>
    <x v="7"/>
    <x v="0"/>
    <s v="Ringo"/>
    <n v="186013"/>
    <n v="36"/>
    <x v="0"/>
    <x v="86"/>
    <n v="5167.0277779999997"/>
    <s v="Media"/>
  </r>
  <r>
    <x v="1"/>
    <s v="Peru"/>
    <s v="Hipermercados Metro S.A"/>
    <x v="4"/>
    <x v="0"/>
    <s v="Ringo"/>
    <n v="215494"/>
    <n v="31"/>
    <x v="2"/>
    <x v="86"/>
    <n v="6951.419355"/>
    <s v="Alta"/>
  </r>
  <r>
    <x v="1"/>
    <s v="Peru"/>
    <s v="Ajies Rellenos Inc."/>
    <x v="2"/>
    <x v="1"/>
    <s v="John"/>
    <n v="237620"/>
    <n v="35"/>
    <x v="3"/>
    <x v="86"/>
    <n v="6789.1428569999998"/>
    <s v="Alta"/>
  </r>
  <r>
    <x v="1"/>
    <s v="Peru"/>
    <s v="Minera de Cobre Supremo"/>
    <x v="1"/>
    <x v="1"/>
    <s v="Ringo"/>
    <n v="119452"/>
    <n v="19"/>
    <x v="1"/>
    <x v="95"/>
    <n v="6286.9473680000001"/>
    <s v="Media"/>
  </r>
  <r>
    <x v="1"/>
    <s v="Peru"/>
    <s v="NEXTEL PERU S.A."/>
    <x v="1"/>
    <x v="1"/>
    <s v="John"/>
    <n v="229038"/>
    <n v="17"/>
    <x v="0"/>
    <x v="86"/>
    <n v="13472.82353"/>
    <s v="Alta"/>
  </r>
  <r>
    <x v="1"/>
    <s v="Peru"/>
    <s v="Importaciones D A F T"/>
    <x v="4"/>
    <x v="0"/>
    <s v="Paul"/>
    <n v="163268"/>
    <n v="22"/>
    <x v="3"/>
    <x v="86"/>
    <n v="7421.2727269999996"/>
    <s v="Media"/>
  </r>
  <r>
    <x v="1"/>
    <s v="Peru"/>
    <s v="Gloria"/>
    <x v="7"/>
    <x v="0"/>
    <s v="John"/>
    <n v="188040"/>
    <n v="42"/>
    <x v="3"/>
    <x v="95"/>
    <n v="4477.1428569999998"/>
    <s v="Media"/>
  </r>
  <r>
    <x v="1"/>
    <s v="Peru"/>
    <s v="LA ARENA S.A."/>
    <x v="6"/>
    <x v="0"/>
    <s v="John"/>
    <n v="56459"/>
    <n v="40"/>
    <x v="4"/>
    <x v="86"/>
    <n v="1411.4749999999999"/>
    <s v="Bajo"/>
  </r>
  <r>
    <x v="1"/>
    <s v="Peru"/>
    <s v="Compañia Minera Poderosa, S.A."/>
    <x v="7"/>
    <x v="0"/>
    <s v="Ringo"/>
    <n v="139545"/>
    <n v="26"/>
    <x v="2"/>
    <x v="90"/>
    <n v="5367.1153850000001"/>
    <s v="Media"/>
  </r>
  <r>
    <x v="1"/>
    <s v="Peru"/>
    <s v="Banco Maya"/>
    <x v="4"/>
    <x v="0"/>
    <s v="Ringo"/>
    <n v="177273"/>
    <n v="19"/>
    <x v="0"/>
    <x v="86"/>
    <n v="9330.1578950000003"/>
    <s v="Media"/>
  </r>
  <r>
    <x v="1"/>
    <s v="Peru"/>
    <s v="San Martin Inc"/>
    <x v="7"/>
    <x v="0"/>
    <s v="Ringo"/>
    <n v="69135"/>
    <n v="28"/>
    <x v="0"/>
    <x v="92"/>
    <n v="2469.1071430000002"/>
    <s v="Bajo"/>
  </r>
  <r>
    <x v="1"/>
    <s v="Peru"/>
    <s v="San Martin Inc"/>
    <x v="7"/>
    <x v="0"/>
    <s v="Ringo"/>
    <n v="63516"/>
    <n v="32"/>
    <x v="0"/>
    <x v="92"/>
    <n v="1984.875"/>
    <s v="Bajo"/>
  </r>
  <r>
    <x v="1"/>
    <s v="Peru"/>
    <s v="Diners Club Peru, S.A"/>
    <x v="7"/>
    <x v="0"/>
    <s v="Ringo"/>
    <n v="88719"/>
    <n v="17"/>
    <x v="0"/>
    <x v="88"/>
    <n v="5218.7647059999999"/>
    <s v="Bajo"/>
  </r>
  <r>
    <x v="1"/>
    <s v="Peru"/>
    <s v="Nissan Maquinarias, S.A."/>
    <x v="4"/>
    <x v="0"/>
    <s v="Ringo"/>
    <n v="246661"/>
    <n v="18"/>
    <x v="0"/>
    <x v="90"/>
    <n v="13703.38889"/>
    <s v="Alta"/>
  </r>
  <r>
    <x v="1"/>
    <s v="Peru"/>
    <s v="Pacifico Peruano Suiza"/>
    <x v="5"/>
    <x v="1"/>
    <s v="Paul"/>
    <n v="78060"/>
    <n v="41"/>
    <x v="3"/>
    <x v="98"/>
    <n v="1903.902439"/>
    <s v="Bajo"/>
  </r>
  <r>
    <x v="1"/>
    <s v="Peru"/>
    <s v="Minera Norteña"/>
    <x v="4"/>
    <x v="0"/>
    <s v="Ringo"/>
    <n v="97132"/>
    <n v="38"/>
    <x v="0"/>
    <x v="86"/>
    <n v="2556.1052629999999"/>
    <s v="Bajo"/>
  </r>
  <r>
    <x v="1"/>
    <s v="Peru"/>
    <s v="Nissan Maquinarias, S.A."/>
    <x v="4"/>
    <x v="0"/>
    <s v="Ringo"/>
    <n v="212403"/>
    <n v="27"/>
    <x v="2"/>
    <x v="90"/>
    <n v="7866.7777779999997"/>
    <s v="Alta"/>
  </r>
  <r>
    <x v="2"/>
    <s v="Peru"/>
    <s v="San Martin Inc"/>
    <x v="7"/>
    <x v="0"/>
    <s v="Ringo"/>
    <n v="69112"/>
    <n v="40"/>
    <x v="2"/>
    <x v="92"/>
    <n v="1727.8"/>
    <s v="Bajo"/>
  </r>
  <r>
    <x v="2"/>
    <s v="Peru"/>
    <s v="Diners Club Peru, S.A"/>
    <x v="7"/>
    <x v="0"/>
    <s v="Ringo"/>
    <n v="235674"/>
    <n v="17"/>
    <x v="4"/>
    <x v="88"/>
    <n v="13863.17647"/>
    <s v="Alta"/>
  </r>
  <r>
    <x v="2"/>
    <s v="Peru"/>
    <s v="San Fernando, S.A."/>
    <x v="7"/>
    <x v="0"/>
    <s v="Ringo"/>
    <n v="177093"/>
    <n v="17"/>
    <x v="0"/>
    <x v="93"/>
    <n v="10417.235290000001"/>
    <s v="Media"/>
  </r>
  <r>
    <x v="2"/>
    <s v="Peru"/>
    <s v="CALATEL PERU"/>
    <x v="7"/>
    <x v="0"/>
    <s v="John"/>
    <n v="205879"/>
    <n v="34"/>
    <x v="4"/>
    <x v="86"/>
    <n v="6055.2647059999999"/>
    <s v="Alta"/>
  </r>
  <r>
    <x v="2"/>
    <s v="Peru"/>
    <s v="IFH Peru LTD"/>
    <x v="5"/>
    <x v="1"/>
    <s v="John"/>
    <n v="116209"/>
    <n v="33"/>
    <x v="3"/>
    <x v="86"/>
    <n v="3521.4848480000001"/>
    <s v="Media"/>
  </r>
  <r>
    <x v="2"/>
    <s v="Peru"/>
    <s v="Minera Aventurera"/>
    <x v="1"/>
    <x v="1"/>
    <s v="John"/>
    <n v="93476"/>
    <n v="36"/>
    <x v="0"/>
    <x v="95"/>
    <n v="2596.5555559999998"/>
    <s v="Bajo"/>
  </r>
  <r>
    <x v="2"/>
    <s v="Peru"/>
    <s v="Diners Club Peru, S.A"/>
    <x v="7"/>
    <x v="0"/>
    <s v="Ringo"/>
    <n v="142317"/>
    <n v="39"/>
    <x v="0"/>
    <x v="88"/>
    <n v="3649.1538460000002"/>
    <s v="Media"/>
  </r>
  <r>
    <x v="2"/>
    <s v="Peru"/>
    <s v="CLINICA INTERNACIONAL S.A."/>
    <x v="1"/>
    <x v="1"/>
    <s v="John"/>
    <n v="246301"/>
    <n v="37"/>
    <x v="2"/>
    <x v="95"/>
    <n v="6656.7837840000002"/>
    <s v="Alta"/>
  </r>
  <r>
    <x v="2"/>
    <s v="Peru"/>
    <s v="Sociedad de Mineria Nueva"/>
    <x v="2"/>
    <x v="0"/>
    <s v="George"/>
    <n v="246738"/>
    <n v="26"/>
    <x v="4"/>
    <x v="90"/>
    <n v="9489.9230769999995"/>
    <s v="Alta"/>
  </r>
  <r>
    <x v="2"/>
    <s v="Peru"/>
    <s v="SCOTIABANK PERU"/>
    <x v="2"/>
    <x v="1"/>
    <s v="Ringo"/>
    <n v="70209"/>
    <n v="30"/>
    <x v="1"/>
    <x v="96"/>
    <n v="2340.3000000000002"/>
    <s v="Bajo"/>
  </r>
  <r>
    <x v="2"/>
    <s v="Peru"/>
    <s v="CONFECCIONES TEXTIMAX S.A."/>
    <x v="6"/>
    <x v="0"/>
    <s v="Ringo"/>
    <n v="203127"/>
    <n v="33"/>
    <x v="2"/>
    <x v="99"/>
    <n v="6155.363636"/>
    <s v="Alta"/>
  </r>
  <r>
    <x v="2"/>
    <s v="Peru"/>
    <s v="Pluspetrol Peru Corporation, S.A."/>
    <x v="7"/>
    <x v="0"/>
    <s v="Ringo"/>
    <n v="149228"/>
    <n v="22"/>
    <x v="4"/>
    <x v="87"/>
    <n v="6783.0909089999996"/>
    <s v="Media"/>
  </r>
  <r>
    <x v="2"/>
    <s v="Peru"/>
    <s v="Minera Hatun Exitokuna"/>
    <x v="6"/>
    <x v="0"/>
    <s v="Ringo"/>
    <n v="118715"/>
    <n v="33"/>
    <x v="4"/>
    <x v="87"/>
    <n v="3597.424242"/>
    <s v="Media"/>
  </r>
  <r>
    <x v="2"/>
    <s v="Peru"/>
    <s v="Diners Club Peru, S.A"/>
    <x v="7"/>
    <x v="0"/>
    <s v="Ringo"/>
    <n v="223565"/>
    <n v="42"/>
    <x v="0"/>
    <x v="88"/>
    <n v="5322.9761900000003"/>
    <s v="Alta"/>
  </r>
  <r>
    <x v="2"/>
    <s v="Peru"/>
    <s v="Diners Club Peru, S.A"/>
    <x v="7"/>
    <x v="0"/>
    <s v="Ringo"/>
    <n v="217457"/>
    <n v="18"/>
    <x v="0"/>
    <x v="88"/>
    <n v="12080.944439999999"/>
    <s v="Alta"/>
  </r>
  <r>
    <x v="2"/>
    <s v="Peru"/>
    <s v="Diners Club Peru, S.A"/>
    <x v="7"/>
    <x v="0"/>
    <s v="Ringo"/>
    <n v="215492"/>
    <n v="15"/>
    <x v="0"/>
    <x v="88"/>
    <n v="14366.133330000001"/>
    <s v="Alta"/>
  </r>
  <r>
    <x v="2"/>
    <s v="Peru"/>
    <s v="RIMAC Corp"/>
    <x v="1"/>
    <x v="1"/>
    <s v="John"/>
    <n v="245319"/>
    <n v="21"/>
    <x v="2"/>
    <x v="86"/>
    <n v="11681.85714"/>
    <s v="Alta"/>
  </r>
  <r>
    <x v="2"/>
    <s v="Peru"/>
    <s v="Nissan Maquinarias, S.A."/>
    <x v="4"/>
    <x v="0"/>
    <s v="Ringo"/>
    <n v="104265"/>
    <n v="36"/>
    <x v="2"/>
    <x v="90"/>
    <n v="2896.25"/>
    <s v="Media"/>
  </r>
  <r>
    <x v="2"/>
    <s v="Peru"/>
    <s v="Banco Interno"/>
    <x v="2"/>
    <x v="1"/>
    <s v="John"/>
    <n v="234136"/>
    <n v="15"/>
    <x v="3"/>
    <x v="87"/>
    <n v="15609.06667"/>
    <s v="Alta"/>
  </r>
  <r>
    <x v="2"/>
    <s v="Peru"/>
    <s v="Sociedad de Mineria Nueva"/>
    <x v="2"/>
    <x v="0"/>
    <s v="George"/>
    <n v="114323"/>
    <n v="20"/>
    <x v="0"/>
    <x v="90"/>
    <n v="5716.15"/>
    <s v="Media"/>
  </r>
  <r>
    <x v="2"/>
    <s v="Peru"/>
    <s v="Diners Club Peru, S.A"/>
    <x v="7"/>
    <x v="0"/>
    <s v="Ringo"/>
    <n v="65032"/>
    <n v="21"/>
    <x v="0"/>
    <x v="88"/>
    <n v="3096.7619049999998"/>
    <s v="Bajo"/>
  </r>
  <r>
    <x v="2"/>
    <s v="Peru"/>
    <s v="Americana de Contactos"/>
    <x v="1"/>
    <x v="1"/>
    <s v="Ringo"/>
    <n v="143315"/>
    <n v="15"/>
    <x v="3"/>
    <x v="86"/>
    <n v="9554.3333330000005"/>
    <s v="Media"/>
  </r>
  <r>
    <x v="2"/>
    <s v="Peru"/>
    <s v="Operadores de Gas"/>
    <x v="7"/>
    <x v="0"/>
    <s v="Ringo"/>
    <n v="121533"/>
    <n v="23"/>
    <x v="4"/>
    <x v="87"/>
    <n v="5284.0434779999996"/>
    <s v="Media"/>
  </r>
  <r>
    <x v="3"/>
    <s v="Peru"/>
    <s v="Universidad La Modernidad"/>
    <x v="4"/>
    <x v="0"/>
    <s v="Ringo"/>
    <n v="203453"/>
    <n v="30"/>
    <x v="2"/>
    <x v="95"/>
    <n v="6781.7666669999999"/>
    <s v="Alta"/>
  </r>
  <r>
    <x v="3"/>
    <s v="Peru"/>
    <s v="Minera Aventurera"/>
    <x v="1"/>
    <x v="1"/>
    <s v="John"/>
    <n v="227032"/>
    <n v="17"/>
    <x v="2"/>
    <x v="95"/>
    <n v="13354.82353"/>
    <s v="Alta"/>
  </r>
  <r>
    <x v="3"/>
    <s v="Peru"/>
    <s v="Banco Interno"/>
    <x v="7"/>
    <x v="0"/>
    <s v="Ringo"/>
    <n v="81059"/>
    <n v="32"/>
    <x v="4"/>
    <x v="87"/>
    <n v="2533.09375"/>
    <s v="Bajo"/>
  </r>
  <r>
    <x v="3"/>
    <s v="Peru"/>
    <s v="Banco Maya"/>
    <x v="4"/>
    <x v="0"/>
    <s v="Ringo"/>
    <n v="142751"/>
    <n v="32"/>
    <x v="0"/>
    <x v="86"/>
    <n v="4460.96875"/>
    <s v="Media"/>
  </r>
  <r>
    <x v="3"/>
    <s v="Peru"/>
    <s v="Diners Club Peru, S.A"/>
    <x v="7"/>
    <x v="0"/>
    <s v="Ringo"/>
    <n v="179217"/>
    <n v="17"/>
    <x v="0"/>
    <x v="88"/>
    <n v="10542.17647"/>
    <s v="Media"/>
  </r>
  <r>
    <x v="3"/>
    <s v="Peru"/>
    <s v="IFH Peru LTD"/>
    <x v="5"/>
    <x v="1"/>
    <s v="John"/>
    <n v="84596"/>
    <n v="38"/>
    <x v="2"/>
    <x v="86"/>
    <n v="2226.2105259999998"/>
    <s v="Bajo"/>
  </r>
  <r>
    <x v="3"/>
    <s v="Peru"/>
    <s v="Compañia Minera Poderosa, S.A."/>
    <x v="7"/>
    <x v="0"/>
    <s v="Ringo"/>
    <n v="215842"/>
    <n v="37"/>
    <x v="2"/>
    <x v="86"/>
    <n v="5833.5675680000004"/>
    <s v="Alta"/>
  </r>
  <r>
    <x v="3"/>
    <s v="Peru"/>
    <s v="Nissan Maquinarias, S.A."/>
    <x v="4"/>
    <x v="0"/>
    <s v="Ringo"/>
    <n v="246658"/>
    <n v="20"/>
    <x v="2"/>
    <x v="90"/>
    <n v="12332.9"/>
    <s v="Alta"/>
  </r>
  <r>
    <x v="3"/>
    <s v="Peru"/>
    <s v="San Martin Inc"/>
    <x v="7"/>
    <x v="0"/>
    <s v="Ringo"/>
    <n v="76492"/>
    <n v="28"/>
    <x v="0"/>
    <x v="92"/>
    <n v="2731.8571430000002"/>
    <s v="Bajo"/>
  </r>
  <r>
    <x v="3"/>
    <s v="Peru"/>
    <s v="San Martin Inc"/>
    <x v="7"/>
    <x v="0"/>
    <s v="Ringo"/>
    <n v="194703"/>
    <n v="21"/>
    <x v="0"/>
    <x v="92"/>
    <n v="9271.5714289999996"/>
    <s v="Media"/>
  </r>
  <r>
    <x v="3"/>
    <s v="Peru"/>
    <s v="Diners Club Peru, S.A"/>
    <x v="7"/>
    <x v="0"/>
    <s v="Ringo"/>
    <n v="130971"/>
    <n v="16"/>
    <x v="0"/>
    <x v="88"/>
    <n v="8185.6875"/>
    <s v="Media"/>
  </r>
  <r>
    <x v="3"/>
    <s v="Peru"/>
    <s v="Delosi, S.A."/>
    <x v="4"/>
    <x v="0"/>
    <s v="Ringo"/>
    <n v="230557"/>
    <n v="24"/>
    <x v="4"/>
    <x v="86"/>
    <n v="9606.5416669999995"/>
    <s v="Alta"/>
  </r>
  <r>
    <x v="4"/>
    <s v="Peru"/>
    <s v="Banco Maya"/>
    <x v="4"/>
    <x v="0"/>
    <s v="Ringo"/>
    <n v="81342"/>
    <n v="34"/>
    <x v="2"/>
    <x v="86"/>
    <n v="2392.4117649999998"/>
    <s v="Bajo"/>
  </r>
  <r>
    <x v="4"/>
    <s v="Peru"/>
    <s v="Diners Club Peru, S.A"/>
    <x v="7"/>
    <x v="0"/>
    <s v="Ringo"/>
    <n v="132626"/>
    <n v="25"/>
    <x v="0"/>
    <x v="88"/>
    <n v="5305.04"/>
    <s v="Media"/>
  </r>
  <r>
    <x v="4"/>
    <s v="Peru"/>
    <s v="Diners Club Peru, S.A"/>
    <x v="7"/>
    <x v="0"/>
    <s v="Ringo"/>
    <n v="63646"/>
    <n v="21"/>
    <x v="2"/>
    <x v="88"/>
    <n v="3030.7619049999998"/>
    <s v="Bajo"/>
  </r>
  <r>
    <x v="4"/>
    <s v="Peru"/>
    <s v="EUROMOTORS S.A."/>
    <x v="4"/>
    <x v="0"/>
    <s v="Ringo"/>
    <n v="217548"/>
    <n v="30"/>
    <x v="0"/>
    <x v="86"/>
    <n v="7251.6"/>
    <s v="Alta"/>
  </r>
  <r>
    <x v="4"/>
    <s v="Peru"/>
    <s v="PERUFARMA S.A."/>
    <x v="7"/>
    <x v="0"/>
    <s v="Ringo"/>
    <n v="58809"/>
    <n v="21"/>
    <x v="4"/>
    <x v="86"/>
    <n v="2800.4285709999999"/>
    <s v="Bajo"/>
  </r>
  <r>
    <x v="4"/>
    <s v="Peru"/>
    <s v="DROKASA PERU S.A."/>
    <x v="6"/>
    <x v="0"/>
    <s v="Ringo"/>
    <n v="196700"/>
    <n v="42"/>
    <x v="2"/>
    <x v="86"/>
    <n v="4683.3333329999996"/>
    <s v="Media"/>
  </r>
  <r>
    <x v="4"/>
    <s v="Peru"/>
    <s v="SCOTIABANK PERU"/>
    <x v="1"/>
    <x v="1"/>
    <s v="Ringo"/>
    <n v="103421"/>
    <n v="42"/>
    <x v="0"/>
    <x v="86"/>
    <n v="2462.4047620000001"/>
    <s v="Media"/>
  </r>
  <r>
    <x v="4"/>
    <s v="Peru"/>
    <s v="San Martin Inc"/>
    <x v="7"/>
    <x v="0"/>
    <s v="Ringo"/>
    <n v="71008"/>
    <n v="21"/>
    <x v="4"/>
    <x v="92"/>
    <n v="3381.333333"/>
    <s v="Bajo"/>
  </r>
  <r>
    <x v="4"/>
    <s v="Peru"/>
    <s v="San Fernando, S.A."/>
    <x v="7"/>
    <x v="0"/>
    <s v="Ringo"/>
    <n v="183822"/>
    <n v="18"/>
    <x v="0"/>
    <x v="93"/>
    <n v="10212.333329999999"/>
    <s v="Media"/>
  </r>
  <r>
    <x v="4"/>
    <s v="Peru"/>
    <s v="Americana de Contactos"/>
    <x v="1"/>
    <x v="1"/>
    <s v="John"/>
    <n v="167160"/>
    <n v="17"/>
    <x v="3"/>
    <x v="86"/>
    <n v="9832.9411760000003"/>
    <s v="Media"/>
  </r>
  <r>
    <x v="4"/>
    <s v="Peru"/>
    <s v="Minera Aventurera"/>
    <x v="1"/>
    <x v="1"/>
    <s v="John"/>
    <n v="94315"/>
    <n v="21"/>
    <x v="2"/>
    <x v="95"/>
    <n v="4491.1904759999998"/>
    <s v="Bajo"/>
  </r>
  <r>
    <x v="4"/>
    <s v="Peru"/>
    <s v="RIMAC Corp"/>
    <x v="1"/>
    <x v="1"/>
    <s v="John"/>
    <n v="52010"/>
    <n v="41"/>
    <x v="2"/>
    <x v="86"/>
    <n v="1268.5365850000001"/>
    <s v="Bajo"/>
  </r>
  <r>
    <x v="4"/>
    <s v="Peru"/>
    <s v="Banco Maya"/>
    <x v="4"/>
    <x v="0"/>
    <s v="Ringo"/>
    <n v="213876"/>
    <n v="27"/>
    <x v="2"/>
    <x v="91"/>
    <n v="7921.3333329999996"/>
    <s v="Alta"/>
  </r>
  <r>
    <x v="4"/>
    <s v="Peru"/>
    <s v="Sociedad de Mineria Nueva"/>
    <x v="2"/>
    <x v="0"/>
    <s v="George"/>
    <n v="64161"/>
    <n v="42"/>
    <x v="2"/>
    <x v="90"/>
    <n v="1527.642857"/>
    <s v="Bajo"/>
  </r>
  <r>
    <x v="4"/>
    <s v="Peru"/>
    <s v="INCA TOPS S.A."/>
    <x v="3"/>
    <x v="0"/>
    <s v="Ringo"/>
    <n v="125873"/>
    <n v="32"/>
    <x v="2"/>
    <x v="86"/>
    <n v="3933.53125"/>
    <s v="Media"/>
  </r>
  <r>
    <x v="4"/>
    <s v="Peru"/>
    <s v="Minera Aventurera"/>
    <x v="1"/>
    <x v="1"/>
    <s v="John"/>
    <n v="189120"/>
    <n v="33"/>
    <x v="3"/>
    <x v="95"/>
    <n v="5730.9090910000004"/>
    <s v="Media"/>
  </r>
  <r>
    <x v="4"/>
    <s v="Peru"/>
    <s v="NGRESTAURANTS"/>
    <x v="1"/>
    <x v="1"/>
    <s v="John"/>
    <n v="177900"/>
    <n v="42"/>
    <x v="1"/>
    <x v="86"/>
    <n v="4235.7142860000004"/>
    <s v="Media"/>
  </r>
  <r>
    <x v="4"/>
    <s v="Peru"/>
    <s v="CONFECCIONES TEXTIMAX S.A."/>
    <x v="6"/>
    <x v="0"/>
    <s v="Ringo"/>
    <n v="118792"/>
    <n v="24"/>
    <x v="2"/>
    <x v="99"/>
    <n v="4949.6666670000004"/>
    <s v="Media"/>
  </r>
  <r>
    <x v="4"/>
    <s v="Peru"/>
    <s v="San Martin Inc"/>
    <x v="7"/>
    <x v="0"/>
    <s v="Ringo"/>
    <n v="110943"/>
    <n v="32"/>
    <x v="2"/>
    <x v="92"/>
    <n v="3466.96875"/>
    <s v="Media"/>
  </r>
  <r>
    <x v="4"/>
    <s v="Peru"/>
    <s v="Diners Club Peru, S.A"/>
    <x v="7"/>
    <x v="0"/>
    <s v="Ringo"/>
    <n v="197143"/>
    <n v="15"/>
    <x v="2"/>
    <x v="88"/>
    <n v="13142.866669999999"/>
    <s v="Media"/>
  </r>
  <r>
    <x v="4"/>
    <s v="Peru"/>
    <s v="CLINICA INTERNACIONAL S.A."/>
    <x v="1"/>
    <x v="1"/>
    <s v="John"/>
    <n v="141747"/>
    <n v="38"/>
    <x v="2"/>
    <x v="95"/>
    <n v="3730.1842109999998"/>
    <s v="Media"/>
  </r>
  <r>
    <x v="4"/>
    <s v="Peru"/>
    <s v="RIMAC Corp"/>
    <x v="1"/>
    <x v="1"/>
    <s v="John"/>
    <n v="137392"/>
    <n v="42"/>
    <x v="0"/>
    <x v="86"/>
    <n v="3271.2380950000002"/>
    <s v="Media"/>
  </r>
  <r>
    <x v="4"/>
    <s v="Peru"/>
    <s v="Compañia Minera Poderosa, S.A."/>
    <x v="7"/>
    <x v="0"/>
    <s v="Ringo"/>
    <n v="100104"/>
    <n v="18"/>
    <x v="0"/>
    <x v="86"/>
    <n v="5561.3333329999996"/>
    <s v="Media"/>
  </r>
  <r>
    <x v="4"/>
    <s v="Peru"/>
    <s v="Delosi, S.A."/>
    <x v="4"/>
    <x v="0"/>
    <s v="Ringo"/>
    <n v="196880"/>
    <n v="31"/>
    <x v="0"/>
    <x v="86"/>
    <n v="6350.9677419999998"/>
    <s v="Media"/>
  </r>
  <r>
    <x v="4"/>
    <s v="Peru"/>
    <s v="CORPORACION GRAFICA NAVARRETE"/>
    <x v="3"/>
    <x v="0"/>
    <s v="Ringo"/>
    <n v="76962"/>
    <n v="31"/>
    <x v="4"/>
    <x v="93"/>
    <n v="2482.6451609999999"/>
    <s v="Bajo"/>
  </r>
  <r>
    <x v="4"/>
    <s v="Peru"/>
    <s v="Seguros Internos SAC"/>
    <x v="2"/>
    <x v="1"/>
    <s v="John"/>
    <n v="206331"/>
    <n v="23"/>
    <x v="3"/>
    <x v="86"/>
    <n v="8970.9130430000005"/>
    <s v="Alta"/>
  </r>
  <r>
    <x v="4"/>
    <s v="Peru"/>
    <s v="DROKASA PERU S.A."/>
    <x v="3"/>
    <x v="0"/>
    <s v="John"/>
    <n v="172224"/>
    <n v="29"/>
    <x v="4"/>
    <x v="86"/>
    <n v="5938.7586209999999"/>
    <s v="Media"/>
  </r>
  <r>
    <x v="4"/>
    <s v="Peru"/>
    <s v="CERAMICOS PERUANOS S.A."/>
    <x v="3"/>
    <x v="0"/>
    <s v="Ringo"/>
    <n v="166110"/>
    <n v="38"/>
    <x v="0"/>
    <x v="89"/>
    <n v="4371.3157890000002"/>
    <s v="Media"/>
  </r>
  <r>
    <x v="4"/>
    <s v="Peru"/>
    <s v="JJC Contratistas"/>
    <x v="3"/>
    <x v="0"/>
    <s v="Ringo"/>
    <n v="180222"/>
    <n v="16"/>
    <x v="1"/>
    <x v="86"/>
    <n v="11263.875"/>
    <s v="Media"/>
  </r>
  <r>
    <x v="4"/>
    <s v="Peru"/>
    <s v="Banco Maya"/>
    <x v="4"/>
    <x v="0"/>
    <s v="Ringo"/>
    <n v="121164"/>
    <n v="35"/>
    <x v="2"/>
    <x v="86"/>
    <n v="3461.828571"/>
    <s v="Media"/>
  </r>
  <r>
    <x v="4"/>
    <s v="Peru"/>
    <s v="IFH Peru LTD"/>
    <x v="5"/>
    <x v="1"/>
    <s v="John"/>
    <n v="173915"/>
    <n v="31"/>
    <x v="0"/>
    <x v="86"/>
    <n v="5610.16129"/>
    <s v="Media"/>
  </r>
  <r>
    <x v="4"/>
    <s v="Peru"/>
    <s v="IFH Peru LTD"/>
    <x v="5"/>
    <x v="1"/>
    <s v="John"/>
    <n v="74471"/>
    <n v="24"/>
    <x v="2"/>
    <x v="86"/>
    <n v="3102.958333"/>
    <s v="Bajo"/>
  </r>
  <r>
    <x v="4"/>
    <s v="Peru"/>
    <s v="Union de Concreteras S.A."/>
    <x v="4"/>
    <x v="0"/>
    <s v="Ringo"/>
    <n v="169409"/>
    <n v="41"/>
    <x v="4"/>
    <x v="86"/>
    <n v="4131.926829"/>
    <s v="Medi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6D75B8-F576-460F-89B4-8FAFE5B40106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D14" firstHeaderRow="0" firstDataRow="1" firstDataCol="1" rowPageCount="1" colPageCount="1"/>
  <pivotFields count="15">
    <pivotField showAll="0">
      <items count="9">
        <item x="1"/>
        <item x="3"/>
        <item x="2"/>
        <item x="0"/>
        <item x="5"/>
        <item x="7"/>
        <item x="4"/>
        <item x="6"/>
        <item t="default"/>
      </items>
    </pivotField>
    <pivotField showAll="0"/>
    <pivotField showAll="0"/>
    <pivotField axis="axisRow" showAll="0" sortType="descending">
      <items count="10">
        <item x="2"/>
        <item x="8"/>
        <item x="0"/>
        <item x="4"/>
        <item x="5"/>
        <item x="3"/>
        <item x="7"/>
        <item x="6"/>
        <item x="1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axis="axisPage" multipleItemSelectionAllowed="1" showAll="0">
      <items count="3">
        <item x="1"/>
        <item x="0"/>
        <item t="default"/>
      </items>
    </pivotField>
    <pivotField showAll="0"/>
    <pivotField dataField="1" showAll="0"/>
    <pivotField dataField="1" showAll="0"/>
    <pivotField showAll="0">
      <items count="6">
        <item x="0"/>
        <item x="3"/>
        <item x="4"/>
        <item x="2"/>
        <item x="1"/>
        <item t="default"/>
      </items>
    </pivotField>
    <pivotField numFmtId="14" showAll="0">
      <items count="101">
        <item x="35"/>
        <item x="49"/>
        <item x="43"/>
        <item x="42"/>
        <item x="51"/>
        <item x="46"/>
        <item x="44"/>
        <item x="50"/>
        <item x="39"/>
        <item x="36"/>
        <item x="48"/>
        <item x="40"/>
        <item x="45"/>
        <item x="47"/>
        <item x="37"/>
        <item x="38"/>
        <item x="41"/>
        <item x="15"/>
        <item x="11"/>
        <item x="7"/>
        <item x="16"/>
        <item x="8"/>
        <item x="13"/>
        <item x="10"/>
        <item x="14"/>
        <item x="5"/>
        <item x="12"/>
        <item x="9"/>
        <item x="6"/>
        <item x="92"/>
        <item x="98"/>
        <item x="97"/>
        <item x="87"/>
        <item x="91"/>
        <item x="88"/>
        <item x="99"/>
        <item x="89"/>
        <item x="90"/>
        <item x="93"/>
        <item x="95"/>
        <item x="96"/>
        <item x="94"/>
        <item x="86"/>
        <item x="79"/>
        <item x="84"/>
        <item x="82"/>
        <item x="83"/>
        <item x="85"/>
        <item x="77"/>
        <item x="78"/>
        <item x="81"/>
        <item x="76"/>
        <item x="80"/>
        <item x="72"/>
        <item x="73"/>
        <item x="74"/>
        <item x="75"/>
        <item x="70"/>
        <item x="71"/>
        <item x="17"/>
        <item x="19"/>
        <item x="24"/>
        <item x="23"/>
        <item x="20"/>
        <item x="22"/>
        <item x="21"/>
        <item x="18"/>
        <item x="29"/>
        <item x="30"/>
        <item x="33"/>
        <item x="34"/>
        <item x="31"/>
        <item x="32"/>
        <item x="27"/>
        <item x="28"/>
        <item x="26"/>
        <item x="25"/>
        <item x="58"/>
        <item x="63"/>
        <item x="64"/>
        <item x="62"/>
        <item x="61"/>
        <item x="59"/>
        <item x="60"/>
        <item x="4"/>
        <item x="2"/>
        <item x="1"/>
        <item x="3"/>
        <item x="0"/>
        <item x="66"/>
        <item x="69"/>
        <item x="67"/>
        <item x="65"/>
        <item x="68"/>
        <item x="52"/>
        <item x="55"/>
        <item x="56"/>
        <item x="57"/>
        <item x="54"/>
        <item x="53"/>
        <item t="default"/>
      </items>
    </pivotField>
    <pivotField dataField="1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multipleItemSelectionAllowed="1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x="1"/>
        <item x="2"/>
        <item sd="0" x="3"/>
        <item t="default"/>
      </items>
    </pivotField>
  </pivotFields>
  <rowFields count="1">
    <field x="3"/>
  </rowFields>
  <rowItems count="10">
    <i>
      <x v="8"/>
    </i>
    <i>
      <x v="6"/>
    </i>
    <i>
      <x v="3"/>
    </i>
    <i>
      <x v="2"/>
    </i>
    <i>
      <x/>
    </i>
    <i>
      <x v="5"/>
    </i>
    <i>
      <x v="7"/>
    </i>
    <i>
      <x v="4"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4" hier="-1"/>
  </pageFields>
  <dataFields count="3">
    <dataField name="Cantidad1" fld="7" baseField="3" baseItem="0"/>
    <dataField name="Precio_Unitario1" fld="10" baseField="3" baseItem="0"/>
    <dataField name="Total_Ventas" fld="6" showDataAs="percentOfTotal" baseField="3" baseItem="0" numFmtId="10"/>
  </dataFields>
  <formats count="2">
    <format dxfId="5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7">
      <pivotArea collapsedLevelsAreSubtotals="1" fieldPosition="0">
        <references count="2">
          <reference field="4294967294" count="1" selected="0">
            <x v="1"/>
          </reference>
          <reference field="3" count="0"/>
        </references>
      </pivotArea>
    </format>
  </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8C9570-7097-4027-98F6-B16AAF86FE82}" name="TablaDinámica2" cacheId="0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outline="1" outlineData="1" multipleFieldFilters="0">
  <location ref="A4:D90" firstHeaderRow="0" firstDataRow="1" firstDataCol="1" rowPageCount="1" colPageCount="1"/>
  <pivotFields count="15">
    <pivotField subtotalTop="0" showAll="0"/>
    <pivotField subtotalTop="0" showAll="0"/>
    <pivotField subtotalTop="0" showAll="0"/>
    <pivotField axis="axisPage" subtotalTop="0" showAll="0">
      <items count="10">
        <item x="2"/>
        <item x="8"/>
        <item x="0"/>
        <item x="4"/>
        <item x="5"/>
        <item x="3"/>
        <item x="7"/>
        <item x="6"/>
        <item x="1"/>
        <item t="default"/>
      </items>
    </pivotField>
    <pivotField subtotalTop="0" showAll="0"/>
    <pivotField subtotalTop="0" showAll="0"/>
    <pivotField dataField="1" subtotalTop="0" showAll="0"/>
    <pivotField dataField="1" subtotalTop="0" showAll="0"/>
    <pivotField axis="axisRow" subtotalTop="0" showAll="0">
      <items count="6">
        <item x="0"/>
        <item x="3"/>
        <item x="4"/>
        <item x="2"/>
        <item x="1"/>
        <item t="default"/>
      </items>
    </pivotField>
    <pivotField numFmtId="14" subtotalTop="0" showAll="0">
      <items count="101">
        <item x="35"/>
        <item x="49"/>
        <item x="43"/>
        <item x="42"/>
        <item x="51"/>
        <item x="46"/>
        <item x="44"/>
        <item x="50"/>
        <item x="39"/>
        <item x="36"/>
        <item x="48"/>
        <item x="40"/>
        <item x="45"/>
        <item x="47"/>
        <item x="37"/>
        <item x="38"/>
        <item x="41"/>
        <item x="15"/>
        <item x="11"/>
        <item x="7"/>
        <item x="16"/>
        <item x="8"/>
        <item x="13"/>
        <item x="10"/>
        <item x="14"/>
        <item x="5"/>
        <item x="12"/>
        <item x="9"/>
        <item x="6"/>
        <item x="92"/>
        <item x="98"/>
        <item x="97"/>
        <item x="87"/>
        <item x="91"/>
        <item x="88"/>
        <item x="99"/>
        <item x="89"/>
        <item x="90"/>
        <item x="93"/>
        <item x="95"/>
        <item x="96"/>
        <item x="94"/>
        <item x="86"/>
        <item x="79"/>
        <item x="84"/>
        <item x="82"/>
        <item x="83"/>
        <item x="85"/>
        <item x="77"/>
        <item x="78"/>
        <item x="81"/>
        <item x="76"/>
        <item x="80"/>
        <item x="72"/>
        <item x="73"/>
        <item x="74"/>
        <item x="75"/>
        <item x="70"/>
        <item x="71"/>
        <item x="17"/>
        <item x="19"/>
        <item x="24"/>
        <item x="23"/>
        <item x="20"/>
        <item x="22"/>
        <item x="21"/>
        <item x="18"/>
        <item x="29"/>
        <item x="30"/>
        <item x="33"/>
        <item x="34"/>
        <item x="31"/>
        <item x="32"/>
        <item x="27"/>
        <item x="28"/>
        <item x="26"/>
        <item x="25"/>
        <item x="58"/>
        <item x="63"/>
        <item x="64"/>
        <item x="62"/>
        <item x="61"/>
        <item x="59"/>
        <item x="60"/>
        <item x="4"/>
        <item x="2"/>
        <item x="1"/>
        <item x="3"/>
        <item x="0"/>
        <item x="66"/>
        <item x="69"/>
        <item x="67"/>
        <item x="65"/>
        <item x="68"/>
        <item x="52"/>
        <item x="55"/>
        <item x="56"/>
        <item x="57"/>
        <item x="54"/>
        <item x="53"/>
        <item t="default"/>
      </items>
    </pivotField>
    <pivotField dataField="1" subtotalTop="0" showAll="0"/>
    <pivotField subtotalTop="0" showAll="0"/>
    <pivotField axis="axisRow"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ubtotalTop="0" showAll="0"/>
    <pivotField axis="axisRow" subtotalTop="0" showAll="0">
      <items count="5">
        <item x="0"/>
        <item x="1"/>
        <item x="2"/>
        <item x="3"/>
        <item t="default"/>
      </items>
    </pivotField>
  </pivotFields>
  <rowFields count="3">
    <field x="14"/>
    <field x="12"/>
    <field x="8"/>
  </rowFields>
  <rowItems count="86">
    <i>
      <x v="1"/>
    </i>
    <i r="1">
      <x v="7"/>
    </i>
    <i r="2">
      <x/>
    </i>
    <i r="2">
      <x v="1"/>
    </i>
    <i r="2">
      <x v="2"/>
    </i>
    <i r="2">
      <x v="3"/>
    </i>
    <i r="2">
      <x v="4"/>
    </i>
    <i t="default" r="1">
      <x v="7"/>
    </i>
    <i r="1">
      <x v="8"/>
    </i>
    <i r="2">
      <x/>
    </i>
    <i r="2">
      <x v="1"/>
    </i>
    <i r="2">
      <x v="2"/>
    </i>
    <i r="2">
      <x v="3"/>
    </i>
    <i r="2">
      <x v="4"/>
    </i>
    <i t="default" r="1">
      <x v="8"/>
    </i>
    <i r="1">
      <x v="9"/>
    </i>
    <i r="2">
      <x/>
    </i>
    <i r="2">
      <x v="1"/>
    </i>
    <i r="2">
      <x v="2"/>
    </i>
    <i r="2">
      <x v="3"/>
    </i>
    <i r="2">
      <x v="4"/>
    </i>
    <i t="default" r="1">
      <x v="9"/>
    </i>
    <i r="1">
      <x v="10"/>
    </i>
    <i r="2">
      <x/>
    </i>
    <i r="2">
      <x v="1"/>
    </i>
    <i r="2">
      <x v="2"/>
    </i>
    <i r="2">
      <x v="3"/>
    </i>
    <i r="2">
      <x v="4"/>
    </i>
    <i t="default" r="1">
      <x v="10"/>
    </i>
    <i r="1">
      <x v="11"/>
    </i>
    <i r="2">
      <x/>
    </i>
    <i r="2">
      <x v="1"/>
    </i>
    <i r="2">
      <x v="2"/>
    </i>
    <i r="2">
      <x v="3"/>
    </i>
    <i t="default" r="1">
      <x v="11"/>
    </i>
    <i r="1">
      <x v="12"/>
    </i>
    <i r="2">
      <x/>
    </i>
    <i r="2">
      <x v="1"/>
    </i>
    <i r="2">
      <x v="2"/>
    </i>
    <i r="2">
      <x v="3"/>
    </i>
    <i r="2">
      <x v="4"/>
    </i>
    <i t="default" r="1">
      <x v="12"/>
    </i>
    <i t="default">
      <x v="1"/>
    </i>
    <i>
      <x v="2"/>
    </i>
    <i r="1">
      <x v="1"/>
    </i>
    <i r="2">
      <x/>
    </i>
    <i r="2">
      <x v="1"/>
    </i>
    <i r="2">
      <x v="2"/>
    </i>
    <i r="2">
      <x v="3"/>
    </i>
    <i r="2">
      <x v="4"/>
    </i>
    <i t="default" r="1">
      <x v="1"/>
    </i>
    <i r="1">
      <x v="2"/>
    </i>
    <i r="2">
      <x/>
    </i>
    <i r="2">
      <x v="1"/>
    </i>
    <i r="2">
      <x v="2"/>
    </i>
    <i r="2">
      <x v="3"/>
    </i>
    <i r="2">
      <x v="4"/>
    </i>
    <i t="default" r="1">
      <x v="2"/>
    </i>
    <i r="1">
      <x v="3"/>
    </i>
    <i r="2">
      <x/>
    </i>
    <i r="2">
      <x v="1"/>
    </i>
    <i r="2">
      <x v="2"/>
    </i>
    <i r="2">
      <x v="3"/>
    </i>
    <i r="2">
      <x v="4"/>
    </i>
    <i t="default" r="1">
      <x v="3"/>
    </i>
    <i r="1">
      <x v="4"/>
    </i>
    <i r="2">
      <x/>
    </i>
    <i r="2">
      <x v="3"/>
    </i>
    <i r="2">
      <x v="4"/>
    </i>
    <i t="default" r="1">
      <x v="4"/>
    </i>
    <i r="1">
      <x v="5"/>
    </i>
    <i r="2">
      <x/>
    </i>
    <i r="2">
      <x v="1"/>
    </i>
    <i r="2">
      <x v="2"/>
    </i>
    <i r="2">
      <x v="3"/>
    </i>
    <i r="2">
      <x v="4"/>
    </i>
    <i t="default" r="1">
      <x v="5"/>
    </i>
    <i r="1">
      <x v="6"/>
    </i>
    <i r="2">
      <x/>
    </i>
    <i r="2">
      <x v="1"/>
    </i>
    <i r="2">
      <x v="2"/>
    </i>
    <i r="2">
      <x v="3"/>
    </i>
    <i r="2">
      <x v="4"/>
    </i>
    <i t="default" r="1">
      <x v="6"/>
    </i>
    <i t="default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3" hier="-1"/>
  </pageFields>
  <dataFields count="3">
    <dataField name="Precio_Unitario1" fld="10" baseField="14" baseItem="1" numFmtId="167"/>
    <dataField name="Cantidad1" fld="7" baseField="14" baseItem="1"/>
    <dataField name="Total_Ventas" fld="6" showDataAs="percentOfTotal" baseField="14" baseItem="1" numFmtId="10"/>
  </dataFields>
  <formats count="46">
    <format dxfId="56">
      <pivotArea outline="0" collapsedLevelsAreSubtotals="1" fieldPosition="0"/>
    </format>
    <format dxfId="5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4">
      <pivotArea outline="0" fieldPosition="0">
        <references count="1">
          <reference field="4294967294" count="1">
            <x v="2"/>
          </reference>
        </references>
      </pivotArea>
    </format>
    <format dxfId="53">
      <pivotArea field="14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5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1">
      <pivotArea dataOnly="0" labelOnly="1" outline="0" fieldPosition="0">
        <references count="1">
          <reference field="3" count="0"/>
        </references>
      </pivotArea>
    </format>
    <format dxfId="5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9">
      <pivotArea collapsedLevelsAreSubtotals="1" fieldPosition="0">
        <references count="4">
          <reference field="4294967294" count="1" selected="0">
            <x v="0"/>
          </reference>
          <reference field="8" count="0"/>
          <reference field="12" count="1" selected="0">
            <x v="7"/>
          </reference>
          <reference field="14" count="1" selected="0">
            <x v="1"/>
          </reference>
        </references>
      </pivotArea>
    </format>
    <format dxfId="48">
      <pivotArea collapsedLevelsAreSubtotals="1" fieldPosition="0">
        <references count="3">
          <reference field="4294967294" count="1" selected="0">
            <x v="0"/>
          </reference>
          <reference field="12" count="1" defaultSubtotal="1">
            <x v="7"/>
          </reference>
          <reference field="14" count="1" selected="0">
            <x v="1"/>
          </reference>
        </references>
      </pivotArea>
    </format>
    <format dxfId="47">
      <pivotArea collapsedLevelsAreSubtotals="1" fieldPosition="0">
        <references count="3">
          <reference field="4294967294" count="1" selected="0">
            <x v="0"/>
          </reference>
          <reference field="12" count="1">
            <x v="8"/>
          </reference>
          <reference field="14" count="1" selected="0">
            <x v="1"/>
          </reference>
        </references>
      </pivotArea>
    </format>
    <format dxfId="46">
      <pivotArea collapsedLevelsAreSubtotals="1" fieldPosition="0">
        <references count="4">
          <reference field="4294967294" count="1" selected="0">
            <x v="0"/>
          </reference>
          <reference field="8" count="0"/>
          <reference field="12" count="1" selected="0">
            <x v="8"/>
          </reference>
          <reference field="14" count="1" selected="0">
            <x v="1"/>
          </reference>
        </references>
      </pivotArea>
    </format>
    <format dxfId="45">
      <pivotArea collapsedLevelsAreSubtotals="1" fieldPosition="0">
        <references count="3">
          <reference field="4294967294" count="1" selected="0">
            <x v="0"/>
          </reference>
          <reference field="12" count="1" defaultSubtotal="1">
            <x v="8"/>
          </reference>
          <reference field="14" count="1" selected="0">
            <x v="1"/>
          </reference>
        </references>
      </pivotArea>
    </format>
    <format dxfId="44">
      <pivotArea collapsedLevelsAreSubtotals="1" fieldPosition="0">
        <references count="3">
          <reference field="4294967294" count="1" selected="0">
            <x v="0"/>
          </reference>
          <reference field="12" count="1">
            <x v="9"/>
          </reference>
          <reference field="14" count="1" selected="0">
            <x v="1"/>
          </reference>
        </references>
      </pivotArea>
    </format>
    <format dxfId="43">
      <pivotArea collapsedLevelsAreSubtotals="1" fieldPosition="0">
        <references count="4">
          <reference field="4294967294" count="1" selected="0">
            <x v="0"/>
          </reference>
          <reference field="8" count="0"/>
          <reference field="12" count="1" selected="0">
            <x v="9"/>
          </reference>
          <reference field="14" count="1" selected="0">
            <x v="1"/>
          </reference>
        </references>
      </pivotArea>
    </format>
    <format dxfId="42">
      <pivotArea collapsedLevelsAreSubtotals="1" fieldPosition="0">
        <references count="3">
          <reference field="4294967294" count="1" selected="0">
            <x v="0"/>
          </reference>
          <reference field="12" count="1" defaultSubtotal="1">
            <x v="9"/>
          </reference>
          <reference field="14" count="1" selected="0">
            <x v="1"/>
          </reference>
        </references>
      </pivotArea>
    </format>
    <format dxfId="41">
      <pivotArea collapsedLevelsAreSubtotals="1" fieldPosition="0">
        <references count="3">
          <reference field="4294967294" count="1" selected="0">
            <x v="0"/>
          </reference>
          <reference field="12" count="1">
            <x v="10"/>
          </reference>
          <reference field="14" count="1" selected="0">
            <x v="1"/>
          </reference>
        </references>
      </pivotArea>
    </format>
    <format dxfId="40">
      <pivotArea collapsedLevelsAreSubtotals="1" fieldPosition="0">
        <references count="4">
          <reference field="4294967294" count="1" selected="0">
            <x v="0"/>
          </reference>
          <reference field="8" count="0"/>
          <reference field="12" count="1" selected="0">
            <x v="10"/>
          </reference>
          <reference field="14" count="1" selected="0">
            <x v="1"/>
          </reference>
        </references>
      </pivotArea>
    </format>
    <format dxfId="39">
      <pivotArea collapsedLevelsAreSubtotals="1" fieldPosition="0">
        <references count="3">
          <reference field="4294967294" count="1" selected="0">
            <x v="0"/>
          </reference>
          <reference field="12" count="1" defaultSubtotal="1">
            <x v="10"/>
          </reference>
          <reference field="14" count="1" selected="0">
            <x v="1"/>
          </reference>
        </references>
      </pivotArea>
    </format>
    <format dxfId="38">
      <pivotArea collapsedLevelsAreSubtotals="1" fieldPosition="0">
        <references count="3">
          <reference field="4294967294" count="1" selected="0">
            <x v="0"/>
          </reference>
          <reference field="12" count="1">
            <x v="11"/>
          </reference>
          <reference field="14" count="1" selected="0">
            <x v="1"/>
          </reference>
        </references>
      </pivotArea>
    </format>
    <format dxfId="37">
      <pivotArea collapsedLevelsAreSubtotals="1" fieldPosition="0">
        <references count="4">
          <reference field="4294967294" count="1" selected="0">
            <x v="0"/>
          </reference>
          <reference field="8" count="4">
            <x v="0"/>
            <x v="1"/>
            <x v="2"/>
            <x v="3"/>
          </reference>
          <reference field="12" count="1" selected="0">
            <x v="11"/>
          </reference>
          <reference field="14" count="1" selected="0">
            <x v="1"/>
          </reference>
        </references>
      </pivotArea>
    </format>
    <format dxfId="36">
      <pivotArea collapsedLevelsAreSubtotals="1" fieldPosition="0">
        <references count="3">
          <reference field="4294967294" count="1" selected="0">
            <x v="0"/>
          </reference>
          <reference field="12" count="1" defaultSubtotal="1">
            <x v="11"/>
          </reference>
          <reference field="14" count="1" selected="0">
            <x v="1"/>
          </reference>
        </references>
      </pivotArea>
    </format>
    <format dxfId="35">
      <pivotArea collapsedLevelsAreSubtotals="1" fieldPosition="0">
        <references count="3">
          <reference field="4294967294" count="1" selected="0">
            <x v="0"/>
          </reference>
          <reference field="12" count="1">
            <x v="12"/>
          </reference>
          <reference field="14" count="1" selected="0">
            <x v="1"/>
          </reference>
        </references>
      </pivotArea>
    </format>
    <format dxfId="34">
      <pivotArea collapsedLevelsAreSubtotals="1" fieldPosition="0">
        <references count="4">
          <reference field="4294967294" count="1" selected="0">
            <x v="0"/>
          </reference>
          <reference field="8" count="0"/>
          <reference field="12" count="1" selected="0">
            <x v="12"/>
          </reference>
          <reference field="14" count="1" selected="0">
            <x v="1"/>
          </reference>
        </references>
      </pivotArea>
    </format>
    <format dxfId="33">
      <pivotArea collapsedLevelsAreSubtotals="1" fieldPosition="0">
        <references count="3">
          <reference field="4294967294" count="1" selected="0">
            <x v="0"/>
          </reference>
          <reference field="12" count="1" defaultSubtotal="1">
            <x v="12"/>
          </reference>
          <reference field="14" count="1" selected="0">
            <x v="1"/>
          </reference>
        </references>
      </pivotArea>
    </format>
    <format dxfId="32">
      <pivotArea collapsedLevelsAreSubtotals="1" fieldPosition="0">
        <references count="2">
          <reference field="4294967294" count="1" selected="0">
            <x v="0"/>
          </reference>
          <reference field="14" count="1" defaultSubtotal="1">
            <x v="1"/>
          </reference>
        </references>
      </pivotArea>
    </format>
    <format dxfId="31">
      <pivotArea collapsedLevelsAreSubtotals="1" fieldPosition="0">
        <references count="2">
          <reference field="4294967294" count="1" selected="0">
            <x v="0"/>
          </reference>
          <reference field="14" count="1">
            <x v="2"/>
          </reference>
        </references>
      </pivotArea>
    </format>
    <format dxfId="30">
      <pivotArea collapsedLevelsAreSubtotals="1" fieldPosition="0">
        <references count="3">
          <reference field="4294967294" count="1" selected="0">
            <x v="0"/>
          </reference>
          <reference field="12" count="1">
            <x v="1"/>
          </reference>
          <reference field="14" count="1" selected="0">
            <x v="2"/>
          </reference>
        </references>
      </pivotArea>
    </format>
    <format dxfId="29">
      <pivotArea collapsedLevelsAreSubtotals="1" fieldPosition="0">
        <references count="4">
          <reference field="4294967294" count="1" selected="0">
            <x v="0"/>
          </reference>
          <reference field="8" count="0"/>
          <reference field="12" count="1" selected="0">
            <x v="1"/>
          </reference>
          <reference field="14" count="1" selected="0">
            <x v="2"/>
          </reference>
        </references>
      </pivotArea>
    </format>
    <format dxfId="28">
      <pivotArea collapsedLevelsAreSubtotals="1" fieldPosition="0">
        <references count="3">
          <reference field="4294967294" count="1" selected="0">
            <x v="0"/>
          </reference>
          <reference field="12" count="1" defaultSubtotal="1">
            <x v="1"/>
          </reference>
          <reference field="14" count="1" selected="0">
            <x v="2"/>
          </reference>
        </references>
      </pivotArea>
    </format>
    <format dxfId="27">
      <pivotArea collapsedLevelsAreSubtotals="1" fieldPosition="0">
        <references count="3">
          <reference field="4294967294" count="1" selected="0">
            <x v="0"/>
          </reference>
          <reference field="12" count="1">
            <x v="2"/>
          </reference>
          <reference field="14" count="1" selected="0">
            <x v="2"/>
          </reference>
        </references>
      </pivotArea>
    </format>
    <format dxfId="26">
      <pivotArea collapsedLevelsAreSubtotals="1" fieldPosition="0">
        <references count="4">
          <reference field="4294967294" count="1" selected="0">
            <x v="0"/>
          </reference>
          <reference field="8" count="0"/>
          <reference field="12" count="1" selected="0">
            <x v="2"/>
          </reference>
          <reference field="14" count="1" selected="0">
            <x v="2"/>
          </reference>
        </references>
      </pivotArea>
    </format>
    <format dxfId="25">
      <pivotArea collapsedLevelsAreSubtotals="1" fieldPosition="0">
        <references count="3">
          <reference field="4294967294" count="1" selected="0">
            <x v="0"/>
          </reference>
          <reference field="12" count="1" defaultSubtotal="1">
            <x v="2"/>
          </reference>
          <reference field="14" count="1" selected="0">
            <x v="2"/>
          </reference>
        </references>
      </pivotArea>
    </format>
    <format dxfId="24">
      <pivotArea collapsedLevelsAreSubtotals="1" fieldPosition="0">
        <references count="3">
          <reference field="4294967294" count="1" selected="0">
            <x v="0"/>
          </reference>
          <reference field="12" count="1">
            <x v="3"/>
          </reference>
          <reference field="14" count="1" selected="0">
            <x v="2"/>
          </reference>
        </references>
      </pivotArea>
    </format>
    <format dxfId="23">
      <pivotArea collapsedLevelsAreSubtotals="1" fieldPosition="0">
        <references count="4">
          <reference field="4294967294" count="1" selected="0">
            <x v="0"/>
          </reference>
          <reference field="8" count="0"/>
          <reference field="12" count="1" selected="0">
            <x v="3"/>
          </reference>
          <reference field="14" count="1" selected="0">
            <x v="2"/>
          </reference>
        </references>
      </pivotArea>
    </format>
    <format dxfId="22">
      <pivotArea collapsedLevelsAreSubtotals="1" fieldPosition="0">
        <references count="3">
          <reference field="4294967294" count="1" selected="0">
            <x v="0"/>
          </reference>
          <reference field="12" count="1" defaultSubtotal="1">
            <x v="3"/>
          </reference>
          <reference field="14" count="1" selected="0">
            <x v="2"/>
          </reference>
        </references>
      </pivotArea>
    </format>
    <format dxfId="21">
      <pivotArea collapsedLevelsAreSubtotals="1" fieldPosition="0">
        <references count="3">
          <reference field="4294967294" count="1" selected="0">
            <x v="0"/>
          </reference>
          <reference field="12" count="1">
            <x v="4"/>
          </reference>
          <reference field="14" count="1" selected="0">
            <x v="2"/>
          </reference>
        </references>
      </pivotArea>
    </format>
    <format dxfId="20">
      <pivotArea collapsedLevelsAreSubtotals="1" fieldPosition="0">
        <references count="4">
          <reference field="4294967294" count="1" selected="0">
            <x v="0"/>
          </reference>
          <reference field="8" count="3">
            <x v="0"/>
            <x v="3"/>
            <x v="4"/>
          </reference>
          <reference field="12" count="1" selected="0">
            <x v="4"/>
          </reference>
          <reference field="14" count="1" selected="0">
            <x v="2"/>
          </reference>
        </references>
      </pivotArea>
    </format>
    <format dxfId="19">
      <pivotArea collapsedLevelsAreSubtotals="1" fieldPosition="0">
        <references count="3">
          <reference field="4294967294" count="1" selected="0">
            <x v="0"/>
          </reference>
          <reference field="12" count="1" defaultSubtotal="1">
            <x v="4"/>
          </reference>
          <reference field="14" count="1" selected="0">
            <x v="2"/>
          </reference>
        </references>
      </pivotArea>
    </format>
    <format dxfId="18">
      <pivotArea collapsedLevelsAreSubtotals="1" fieldPosition="0">
        <references count="3">
          <reference field="4294967294" count="1" selected="0">
            <x v="0"/>
          </reference>
          <reference field="12" count="1">
            <x v="5"/>
          </reference>
          <reference field="14" count="1" selected="0">
            <x v="2"/>
          </reference>
        </references>
      </pivotArea>
    </format>
    <format dxfId="17">
      <pivotArea collapsedLevelsAreSubtotals="1" fieldPosition="0">
        <references count="4">
          <reference field="4294967294" count="1" selected="0">
            <x v="0"/>
          </reference>
          <reference field="8" count="0"/>
          <reference field="12" count="1" selected="0">
            <x v="5"/>
          </reference>
          <reference field="14" count="1" selected="0">
            <x v="2"/>
          </reference>
        </references>
      </pivotArea>
    </format>
    <format dxfId="16">
      <pivotArea collapsedLevelsAreSubtotals="1" fieldPosition="0">
        <references count="3">
          <reference field="4294967294" count="1" selected="0">
            <x v="0"/>
          </reference>
          <reference field="12" count="1" defaultSubtotal="1">
            <x v="5"/>
          </reference>
          <reference field="14" count="1" selected="0">
            <x v="2"/>
          </reference>
        </references>
      </pivotArea>
    </format>
    <format dxfId="15">
      <pivotArea collapsedLevelsAreSubtotals="1" fieldPosition="0">
        <references count="3">
          <reference field="4294967294" count="1" selected="0">
            <x v="0"/>
          </reference>
          <reference field="12" count="1">
            <x v="6"/>
          </reference>
          <reference field="14" count="1" selected="0">
            <x v="2"/>
          </reference>
        </references>
      </pivotArea>
    </format>
    <format dxfId="14">
      <pivotArea collapsedLevelsAreSubtotals="1" fieldPosition="0">
        <references count="4">
          <reference field="4294967294" count="1" selected="0">
            <x v="0"/>
          </reference>
          <reference field="8" count="0"/>
          <reference field="12" count="1" selected="0">
            <x v="6"/>
          </reference>
          <reference field="14" count="1" selected="0">
            <x v="2"/>
          </reference>
        </references>
      </pivotArea>
    </format>
    <format dxfId="13">
      <pivotArea collapsedLevelsAreSubtotals="1" fieldPosition="0">
        <references count="3">
          <reference field="4294967294" count="1" selected="0">
            <x v="0"/>
          </reference>
          <reference field="12" count="1" defaultSubtotal="1">
            <x v="6"/>
          </reference>
          <reference field="14" count="1" selected="0">
            <x v="2"/>
          </reference>
        </references>
      </pivotArea>
    </format>
    <format dxfId="12">
      <pivotArea collapsedLevelsAreSubtotals="1" fieldPosition="0">
        <references count="4">
          <reference field="4294967294" count="1" selected="0">
            <x v="0"/>
          </reference>
          <reference field="8" count="0"/>
          <reference field="12" count="1" selected="0">
            <x v="7"/>
          </reference>
          <reference field="14" count="1" selected="0">
            <x v="1"/>
          </reference>
        </references>
      </pivotArea>
    </format>
    <format dxfId="11">
      <pivotArea collapsedLevelsAreSubtotals="1" fieldPosition="0">
        <references count="4">
          <reference field="4294967294" count="1" selected="0">
            <x v="0"/>
          </reference>
          <reference field="8" count="1">
            <x v="0"/>
          </reference>
          <reference field="12" count="1" selected="0">
            <x v="7"/>
          </reference>
          <reference field="14" count="1" selected="0">
            <x v="1"/>
          </reference>
        </references>
      </pivotArea>
    </format>
  </formats>
  <conditionalFormats count="1">
    <conditionalFormat priority="1">
      <pivotAreas count="38">
        <pivotArea type="data" collapsedLevelsAreSubtotals="1" fieldPosition="0">
          <references count="4">
            <reference field="4294967294" count="1" selected="0">
              <x v="2"/>
            </reference>
            <reference field="8" count="5">
              <x v="0"/>
              <x v="1"/>
              <x v="2"/>
              <x v="3"/>
              <x v="4"/>
            </reference>
            <reference field="12" count="1" selected="0">
              <x v="7"/>
            </reference>
            <reference field="14" count="1" selected="0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2"/>
            </reference>
            <reference field="12" count="1" defaultSubtotal="1">
              <x v="7"/>
            </reference>
            <reference field="14" count="1" selected="0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2"/>
            </reference>
            <reference field="12" count="1">
              <x v="8"/>
            </reference>
            <reference field="14" count="1" selected="0">
              <x v="1"/>
            </reference>
          </references>
        </pivotArea>
        <pivotArea type="data" collapsedLevelsAreSubtotals="1" fieldPosition="0">
          <references count="4">
            <reference field="4294967294" count="1" selected="0">
              <x v="2"/>
            </reference>
            <reference field="8" count="5">
              <x v="0"/>
              <x v="1"/>
              <x v="2"/>
              <x v="3"/>
              <x v="4"/>
            </reference>
            <reference field="12" count="1" selected="0">
              <x v="8"/>
            </reference>
            <reference field="14" count="1" selected="0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2"/>
            </reference>
            <reference field="12" count="1" defaultSubtotal="1">
              <x v="8"/>
            </reference>
            <reference field="14" count="1" selected="0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2"/>
            </reference>
            <reference field="12" count="1">
              <x v="9"/>
            </reference>
            <reference field="14" count="1" selected="0">
              <x v="1"/>
            </reference>
          </references>
        </pivotArea>
        <pivotArea type="data" collapsedLevelsAreSubtotals="1" fieldPosition="0">
          <references count="4">
            <reference field="4294967294" count="1" selected="0">
              <x v="2"/>
            </reference>
            <reference field="8" count="5">
              <x v="0"/>
              <x v="1"/>
              <x v="2"/>
              <x v="3"/>
              <x v="4"/>
            </reference>
            <reference field="12" count="1" selected="0">
              <x v="9"/>
            </reference>
            <reference field="14" count="1" selected="0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2"/>
            </reference>
            <reference field="12" count="1" defaultSubtotal="1">
              <x v="9"/>
            </reference>
            <reference field="14" count="1" selected="0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2"/>
            </reference>
            <reference field="12" count="1">
              <x v="10"/>
            </reference>
            <reference field="14" count="1" selected="0">
              <x v="1"/>
            </reference>
          </references>
        </pivotArea>
        <pivotArea type="data" collapsedLevelsAreSubtotals="1" fieldPosition="0">
          <references count="4">
            <reference field="4294967294" count="1" selected="0">
              <x v="2"/>
            </reference>
            <reference field="8" count="5">
              <x v="0"/>
              <x v="1"/>
              <x v="2"/>
              <x v="3"/>
              <x v="4"/>
            </reference>
            <reference field="12" count="1" selected="0">
              <x v="10"/>
            </reference>
            <reference field="14" count="1" selected="0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2"/>
            </reference>
            <reference field="12" count="1" defaultSubtotal="1">
              <x v="10"/>
            </reference>
            <reference field="14" count="1" selected="0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2"/>
            </reference>
            <reference field="12" count="1">
              <x v="11"/>
            </reference>
            <reference field="14" count="1" selected="0">
              <x v="1"/>
            </reference>
          </references>
        </pivotArea>
        <pivotArea type="data" collapsedLevelsAreSubtotals="1" fieldPosition="0">
          <references count="4">
            <reference field="4294967294" count="1" selected="0">
              <x v="2"/>
            </reference>
            <reference field="8" count="4">
              <x v="0"/>
              <x v="1"/>
              <x v="2"/>
              <x v="3"/>
            </reference>
            <reference field="12" count="1" selected="0">
              <x v="11"/>
            </reference>
            <reference field="14" count="1" selected="0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2"/>
            </reference>
            <reference field="12" count="1" defaultSubtotal="1">
              <x v="11"/>
            </reference>
            <reference field="14" count="1" selected="0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2"/>
            </reference>
            <reference field="12" count="1">
              <x v="12"/>
            </reference>
            <reference field="14" count="1" selected="0">
              <x v="1"/>
            </reference>
          </references>
        </pivotArea>
        <pivotArea type="data" collapsedLevelsAreSubtotals="1" fieldPosition="0">
          <references count="4">
            <reference field="4294967294" count="1" selected="0">
              <x v="2"/>
            </reference>
            <reference field="8" count="5">
              <x v="0"/>
              <x v="1"/>
              <x v="2"/>
              <x v="3"/>
              <x v="4"/>
            </reference>
            <reference field="12" count="1" selected="0">
              <x v="12"/>
            </reference>
            <reference field="14" count="1" selected="0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2"/>
            </reference>
            <reference field="12" count="1" defaultSubtotal="1">
              <x v="12"/>
            </reference>
            <reference field="14" count="1" selected="0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2"/>
            </reference>
            <reference field="14" count="1" defaultSubtotal="1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2"/>
            </reference>
            <reference field="14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2"/>
            </reference>
            <reference field="12" count="1">
              <x v="1"/>
            </reference>
            <reference field="14" count="1" selected="0">
              <x v="2"/>
            </reference>
          </references>
        </pivotArea>
        <pivotArea type="data" collapsedLevelsAreSubtotals="1" fieldPosition="0">
          <references count="4">
            <reference field="4294967294" count="1" selected="0">
              <x v="2"/>
            </reference>
            <reference field="8" count="5">
              <x v="0"/>
              <x v="1"/>
              <x v="2"/>
              <x v="3"/>
              <x v="4"/>
            </reference>
            <reference field="12" count="1" selected="0">
              <x v="1"/>
            </reference>
            <reference field="14" count="1" selected="0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2"/>
            </reference>
            <reference field="12" count="1" defaultSubtotal="1">
              <x v="1"/>
            </reference>
            <reference field="14" count="1" selected="0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2"/>
            </reference>
            <reference field="12" count="1">
              <x v="2"/>
            </reference>
            <reference field="14" count="1" selected="0">
              <x v="2"/>
            </reference>
          </references>
        </pivotArea>
        <pivotArea type="data" collapsedLevelsAreSubtotals="1" fieldPosition="0">
          <references count="4">
            <reference field="4294967294" count="1" selected="0">
              <x v="2"/>
            </reference>
            <reference field="8" count="5">
              <x v="0"/>
              <x v="1"/>
              <x v="2"/>
              <x v="3"/>
              <x v="4"/>
            </reference>
            <reference field="12" count="1" selected="0">
              <x v="2"/>
            </reference>
            <reference field="14" count="1" selected="0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2"/>
            </reference>
            <reference field="12" count="1" defaultSubtotal="1">
              <x v="2"/>
            </reference>
            <reference field="14" count="1" selected="0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2"/>
            </reference>
            <reference field="12" count="1">
              <x v="3"/>
            </reference>
            <reference field="14" count="1" selected="0">
              <x v="2"/>
            </reference>
          </references>
        </pivotArea>
        <pivotArea type="data" collapsedLevelsAreSubtotals="1" fieldPosition="0">
          <references count="4">
            <reference field="4294967294" count="1" selected="0">
              <x v="2"/>
            </reference>
            <reference field="8" count="5">
              <x v="0"/>
              <x v="1"/>
              <x v="2"/>
              <x v="3"/>
              <x v="4"/>
            </reference>
            <reference field="12" count="1" selected="0">
              <x v="3"/>
            </reference>
            <reference field="14" count="1" selected="0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2"/>
            </reference>
            <reference field="12" count="1" defaultSubtotal="1">
              <x v="3"/>
            </reference>
            <reference field="14" count="1" selected="0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2"/>
            </reference>
            <reference field="12" count="1">
              <x v="4"/>
            </reference>
            <reference field="14" count="1" selected="0">
              <x v="2"/>
            </reference>
          </references>
        </pivotArea>
        <pivotArea type="data" collapsedLevelsAreSubtotals="1" fieldPosition="0">
          <references count="4">
            <reference field="4294967294" count="1" selected="0">
              <x v="2"/>
            </reference>
            <reference field="8" count="3">
              <x v="0"/>
              <x v="3"/>
              <x v="4"/>
            </reference>
            <reference field="12" count="1" selected="0">
              <x v="4"/>
            </reference>
            <reference field="14" count="1" selected="0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2"/>
            </reference>
            <reference field="12" count="1" defaultSubtotal="1">
              <x v="4"/>
            </reference>
            <reference field="14" count="1" selected="0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2"/>
            </reference>
            <reference field="12" count="1">
              <x v="5"/>
            </reference>
            <reference field="14" count="1" selected="0">
              <x v="2"/>
            </reference>
          </references>
        </pivotArea>
        <pivotArea type="data" collapsedLevelsAreSubtotals="1" fieldPosition="0">
          <references count="4">
            <reference field="4294967294" count="1" selected="0">
              <x v="2"/>
            </reference>
            <reference field="8" count="5">
              <x v="0"/>
              <x v="1"/>
              <x v="2"/>
              <x v="3"/>
              <x v="4"/>
            </reference>
            <reference field="12" count="1" selected="0">
              <x v="5"/>
            </reference>
            <reference field="14" count="1" selected="0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2"/>
            </reference>
            <reference field="12" count="1" defaultSubtotal="1">
              <x v="5"/>
            </reference>
            <reference field="14" count="1" selected="0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2"/>
            </reference>
            <reference field="12" count="1">
              <x v="6"/>
            </reference>
            <reference field="14" count="1" selected="0">
              <x v="2"/>
            </reference>
          </references>
        </pivotArea>
        <pivotArea type="data" collapsedLevelsAreSubtotals="1" fieldPosition="0">
          <references count="4">
            <reference field="4294967294" count="1" selected="0">
              <x v="2"/>
            </reference>
            <reference field="8" count="5">
              <x v="0"/>
              <x v="1"/>
              <x v="2"/>
              <x v="3"/>
              <x v="4"/>
            </reference>
            <reference field="12" count="1" selected="0">
              <x v="6"/>
            </reference>
            <reference field="14" count="1" selected="0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2"/>
            </reference>
            <reference field="12" count="1" defaultSubtotal="1">
              <x v="6"/>
            </reference>
            <reference field="14" count="1" selected="0">
              <x v="2"/>
            </reference>
          </references>
        </pivotArea>
        <pivotArea type="data" collapsedLevelsAreSubtotals="1" fieldPosition="0">
          <references count="2">
            <reference field="4294967294" count="1" selected="0">
              <x v="2"/>
            </reference>
            <reference field="14" count="1" defaultSubtotal="1">
              <x v="2"/>
            </reference>
          </references>
        </pivotArea>
      </pivotAreas>
    </conditionalFormat>
  </conditional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799D66-A4CB-40A9-8A7B-C0C5A2BAE4E7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outline="1" outlineData="1" compactData="0" multipleFieldFilters="0">
  <location ref="A3:D24" firstHeaderRow="0" firstDataRow="1" firstDataCol="2"/>
  <pivotFields count="15">
    <pivotField axis="axisRow" compact="0" subtotalTop="0" showAll="0">
      <items count="9">
        <item x="1"/>
        <item x="3"/>
        <item x="2"/>
        <item x="0"/>
        <item x="5"/>
        <item x="7"/>
        <item x="4"/>
        <item x="6"/>
        <item t="default"/>
      </items>
    </pivotField>
    <pivotField compact="0" subtotalTop="0" showAll="0"/>
    <pivotField compact="0" subtotalTop="0" showAll="0"/>
    <pivotField compact="0" subtotalTop="0" showAll="0"/>
    <pivotField axis="axisRow" compact="0" subtotalTop="0" showAll="0">
      <items count="3">
        <item x="1"/>
        <item x="0"/>
        <item t="default"/>
      </items>
    </pivotField>
    <pivotField compact="0" subtotalTop="0" showAll="0"/>
    <pivotField dataField="1" compact="0" subtotalTop="0" showAll="0"/>
    <pivotField compact="0" subtotalTop="0" showAll="0"/>
    <pivotField compact="0" subtotalTop="0" showAll="0"/>
    <pivotField compact="0" numFmtId="14" subtotalTop="0" showAll="0">
      <items count="101">
        <item x="35"/>
        <item x="49"/>
        <item x="43"/>
        <item x="42"/>
        <item x="51"/>
        <item x="46"/>
        <item x="44"/>
        <item x="50"/>
        <item x="39"/>
        <item x="36"/>
        <item x="48"/>
        <item x="40"/>
        <item x="45"/>
        <item x="47"/>
        <item x="37"/>
        <item x="38"/>
        <item x="41"/>
        <item x="15"/>
        <item x="11"/>
        <item x="7"/>
        <item x="16"/>
        <item x="8"/>
        <item x="13"/>
        <item x="10"/>
        <item x="14"/>
        <item x="5"/>
        <item x="12"/>
        <item x="9"/>
        <item x="6"/>
        <item x="92"/>
        <item x="98"/>
        <item x="97"/>
        <item x="87"/>
        <item x="91"/>
        <item x="88"/>
        <item x="99"/>
        <item x="89"/>
        <item x="90"/>
        <item x="93"/>
        <item x="95"/>
        <item x="96"/>
        <item x="94"/>
        <item x="86"/>
        <item x="79"/>
        <item x="84"/>
        <item x="82"/>
        <item x="83"/>
        <item x="85"/>
        <item x="77"/>
        <item x="78"/>
        <item x="81"/>
        <item x="76"/>
        <item x="80"/>
        <item x="72"/>
        <item x="73"/>
        <item x="74"/>
        <item x="75"/>
        <item x="70"/>
        <item x="71"/>
        <item x="17"/>
        <item x="19"/>
        <item x="24"/>
        <item x="23"/>
        <item x="20"/>
        <item x="22"/>
        <item x="21"/>
        <item x="18"/>
        <item x="29"/>
        <item x="30"/>
        <item x="33"/>
        <item x="34"/>
        <item x="31"/>
        <item x="32"/>
        <item x="27"/>
        <item x="28"/>
        <item x="26"/>
        <item x="25"/>
        <item x="58"/>
        <item x="63"/>
        <item x="64"/>
        <item x="62"/>
        <item x="61"/>
        <item x="59"/>
        <item x="60"/>
        <item x="4"/>
        <item x="2"/>
        <item x="1"/>
        <item x="3"/>
        <item x="0"/>
        <item x="66"/>
        <item x="69"/>
        <item x="67"/>
        <item x="65"/>
        <item x="68"/>
        <item x="52"/>
        <item x="55"/>
        <item x="56"/>
        <item x="57"/>
        <item x="54"/>
        <item x="53"/>
        <item t="default"/>
      </items>
    </pivotField>
    <pivotField dataField="1" compact="0" subtotalTop="0" showAll="0"/>
    <pivotField compact="0" subtotalTop="0" showAll="0"/>
    <pivotField compact="0" subtotalTop="0" showAll="0"/>
    <pivotField compact="0" subtotalTop="0" showAll="0"/>
    <pivotField compact="0" subtotalTop="0" showAll="0">
      <items count="5">
        <item x="0"/>
        <item x="1"/>
        <item x="2"/>
        <item x="3"/>
        <item t="default"/>
      </items>
    </pivotField>
  </pivotFields>
  <rowFields count="2">
    <field x="4"/>
    <field x="0"/>
  </rowFields>
  <rowItems count="2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Precio_Unitario1" fld="10" baseField="4" baseItem="0"/>
    <dataField name="Total_Ventas" fld="6" baseField="4" baseItem="0"/>
  </dataFields>
  <formats count="6">
    <format dxfId="10">
      <pivotArea fieldPosition="0">
        <references count="2">
          <reference field="0" count="0"/>
          <reference field="4" count="1" selected="0">
            <x v="0"/>
          </reference>
        </references>
      </pivotArea>
    </format>
    <format dxfId="9">
      <pivotArea fieldPosition="0">
        <references count="1">
          <reference field="4" count="1" defaultSubtotal="1">
            <x v="0"/>
          </reference>
        </references>
      </pivotArea>
    </format>
    <format dxfId="8">
      <pivotArea fieldPosition="0">
        <references count="1">
          <reference field="4" count="1">
            <x v="1"/>
          </reference>
        </references>
      </pivotArea>
    </format>
    <format dxfId="7">
      <pivotArea fieldPosition="0">
        <references count="2">
          <reference field="0" count="0"/>
          <reference field="4" count="1" selected="0">
            <x v="1"/>
          </reference>
        </references>
      </pivotArea>
    </format>
    <format dxfId="6">
      <pivotArea fieldPosition="0">
        <references count="1">
          <reference field="4" count="1" defaultSubtotal="1">
            <x v="1"/>
          </reference>
        </references>
      </pivotArea>
    </format>
    <format dxfId="5">
      <pivotArea grandRow="1" outline="0" collapsedLevelsAreSubtotals="1" fieldPosition="0"/>
    </format>
  </formats>
  <pivotTableStyleInfo name="PivotStyleDark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D7382B-8377-440C-A8C5-3E1CA8FBB0C0}" name="TablaDiná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23:B26" firstHeaderRow="1" firstDataRow="1" firstDataCol="1"/>
  <pivotFields count="15">
    <pivotField showAll="0"/>
    <pivotField showAll="0"/>
    <pivotField showAll="0"/>
    <pivotField showAll="0">
      <items count="10">
        <item x="2"/>
        <item x="8"/>
        <item x="0"/>
        <item x="4"/>
        <item x="5"/>
        <item x="3"/>
        <item x="7"/>
        <item x="6"/>
        <item x="1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>
      <items count="6">
        <item x="0"/>
        <item x="3"/>
        <item x="4"/>
        <item x="2"/>
        <item x="1"/>
        <item t="default"/>
      </items>
    </pivotField>
    <pivotField numFmtId="14" showAll="0">
      <items count="101">
        <item x="35"/>
        <item x="49"/>
        <item x="43"/>
        <item x="42"/>
        <item x="51"/>
        <item x="46"/>
        <item x="44"/>
        <item x="50"/>
        <item x="39"/>
        <item x="36"/>
        <item x="48"/>
        <item x="40"/>
        <item x="45"/>
        <item x="47"/>
        <item x="37"/>
        <item x="38"/>
        <item x="41"/>
        <item x="15"/>
        <item x="11"/>
        <item x="7"/>
        <item x="16"/>
        <item x="8"/>
        <item x="13"/>
        <item x="10"/>
        <item x="14"/>
        <item x="5"/>
        <item x="12"/>
        <item x="9"/>
        <item x="6"/>
        <item x="92"/>
        <item x="98"/>
        <item x="97"/>
        <item x="87"/>
        <item x="91"/>
        <item x="88"/>
        <item x="99"/>
        <item x="89"/>
        <item x="90"/>
        <item x="93"/>
        <item x="95"/>
        <item x="96"/>
        <item x="94"/>
        <item x="86"/>
        <item x="79"/>
        <item x="84"/>
        <item x="82"/>
        <item x="83"/>
        <item x="85"/>
        <item x="77"/>
        <item x="78"/>
        <item x="81"/>
        <item x="76"/>
        <item x="80"/>
        <item x="72"/>
        <item x="73"/>
        <item x="74"/>
        <item x="75"/>
        <item x="70"/>
        <item x="71"/>
        <item x="17"/>
        <item x="19"/>
        <item x="24"/>
        <item x="23"/>
        <item x="20"/>
        <item x="22"/>
        <item x="21"/>
        <item x="18"/>
        <item x="29"/>
        <item x="30"/>
        <item x="33"/>
        <item x="34"/>
        <item x="31"/>
        <item x="32"/>
        <item x="27"/>
        <item x="28"/>
        <item x="26"/>
        <item x="25"/>
        <item x="58"/>
        <item x="63"/>
        <item x="64"/>
        <item x="62"/>
        <item x="61"/>
        <item x="59"/>
        <item x="60"/>
        <item x="4"/>
        <item x="2"/>
        <item x="1"/>
        <item x="3"/>
        <item x="0"/>
        <item x="66"/>
        <item x="69"/>
        <item x="67"/>
        <item x="65"/>
        <item x="68"/>
        <item x="52"/>
        <item x="55"/>
        <item x="56"/>
        <item x="57"/>
        <item x="54"/>
        <item x="53"/>
        <item t="default"/>
      </items>
    </pivotField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a de Ventas" fld="6" baseField="0" baseItem="0" numFmtId="2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Medium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F72159-2843-48CF-970B-4BD31E24F4A9}" name="TablaDiná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15:B21" firstHeaderRow="1" firstDataRow="1" firstDataCol="1"/>
  <pivotFields count="15">
    <pivotField showAll="0"/>
    <pivotField showAll="0"/>
    <pivotField showAll="0"/>
    <pivotField showAll="0">
      <items count="10">
        <item x="2"/>
        <item x="8"/>
        <item x="0"/>
        <item x="4"/>
        <item x="5"/>
        <item x="3"/>
        <item x="7"/>
        <item x="6"/>
        <item x="1"/>
        <item t="default"/>
      </items>
    </pivotField>
    <pivotField showAll="0"/>
    <pivotField showAll="0"/>
    <pivotField dataField="1" showAll="0"/>
    <pivotField showAll="0"/>
    <pivotField axis="axisRow" showAll="0">
      <items count="6">
        <item x="0"/>
        <item x="3"/>
        <item x="4"/>
        <item x="2"/>
        <item x="1"/>
        <item t="default"/>
      </items>
    </pivotField>
    <pivotField numFmtId="14" showAll="0">
      <items count="101">
        <item x="35"/>
        <item x="49"/>
        <item x="43"/>
        <item x="42"/>
        <item x="51"/>
        <item x="46"/>
        <item x="44"/>
        <item x="50"/>
        <item x="39"/>
        <item x="36"/>
        <item x="48"/>
        <item x="40"/>
        <item x="45"/>
        <item x="47"/>
        <item x="37"/>
        <item x="38"/>
        <item x="41"/>
        <item x="15"/>
        <item x="11"/>
        <item x="7"/>
        <item x="16"/>
        <item x="8"/>
        <item x="13"/>
        <item x="10"/>
        <item x="14"/>
        <item x="5"/>
        <item x="12"/>
        <item x="9"/>
        <item x="6"/>
        <item x="92"/>
        <item x="98"/>
        <item x="97"/>
        <item x="87"/>
        <item x="91"/>
        <item x="88"/>
        <item x="99"/>
        <item x="89"/>
        <item x="90"/>
        <item x="93"/>
        <item x="95"/>
        <item x="96"/>
        <item x="94"/>
        <item x="86"/>
        <item x="79"/>
        <item x="84"/>
        <item x="82"/>
        <item x="83"/>
        <item x="85"/>
        <item x="77"/>
        <item x="78"/>
        <item x="81"/>
        <item x="76"/>
        <item x="80"/>
        <item x="72"/>
        <item x="73"/>
        <item x="74"/>
        <item x="75"/>
        <item x="70"/>
        <item x="71"/>
        <item x="17"/>
        <item x="19"/>
        <item x="24"/>
        <item x="23"/>
        <item x="20"/>
        <item x="22"/>
        <item x="21"/>
        <item x="18"/>
        <item x="29"/>
        <item x="30"/>
        <item x="33"/>
        <item x="34"/>
        <item x="31"/>
        <item x="32"/>
        <item x="27"/>
        <item x="28"/>
        <item x="26"/>
        <item x="25"/>
        <item x="58"/>
        <item x="63"/>
        <item x="64"/>
        <item x="62"/>
        <item x="61"/>
        <item x="59"/>
        <item x="60"/>
        <item x="4"/>
        <item x="2"/>
        <item x="1"/>
        <item x="3"/>
        <item x="0"/>
        <item x="66"/>
        <item x="69"/>
        <item x="67"/>
        <item x="65"/>
        <item x="68"/>
        <item x="52"/>
        <item x="55"/>
        <item x="56"/>
        <item x="57"/>
        <item x="54"/>
        <item x="53"/>
        <item t="default"/>
      </items>
    </pivotField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Ventas" fld="6" baseField="0" baseItem="0" numFmtId="2"/>
  </dataFields>
  <formats count="2">
    <format dxfId="3">
      <pivotArea outline="0" collapsedLevelsAreSubtotals="1" fieldPosition="0"/>
    </format>
    <format dxfId="2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47471F-39CB-4892-8BEF-D9ADFF460621}" name="TablaDiná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3:B13" firstHeaderRow="1" firstDataRow="1" firstDataCol="1"/>
  <pivotFields count="15">
    <pivotField showAll="0"/>
    <pivotField showAll="0"/>
    <pivotField showAll="0"/>
    <pivotField axis="axisRow" showAll="0">
      <items count="10">
        <item x="2"/>
        <item x="8"/>
        <item x="0"/>
        <item x="4"/>
        <item x="5"/>
        <item x="3"/>
        <item x="7"/>
        <item x="6"/>
        <item x="1"/>
        <item t="default"/>
      </items>
    </pivotField>
    <pivotField showAll="0">
      <items count="3">
        <item x="1"/>
        <item x="0"/>
        <item t="default"/>
      </items>
    </pivotField>
    <pivotField showAll="0"/>
    <pivotField dataField="1" showAll="0"/>
    <pivotField showAll="0"/>
    <pivotField showAll="0">
      <items count="6">
        <item x="0"/>
        <item x="3"/>
        <item x="4"/>
        <item x="2"/>
        <item x="1"/>
        <item t="default"/>
      </items>
    </pivotField>
    <pivotField numFmtId="14" showAll="0">
      <items count="101">
        <item x="35"/>
        <item x="49"/>
        <item x="43"/>
        <item x="42"/>
        <item x="51"/>
        <item x="46"/>
        <item x="44"/>
        <item x="50"/>
        <item x="39"/>
        <item x="36"/>
        <item x="48"/>
        <item x="40"/>
        <item x="45"/>
        <item x="47"/>
        <item x="37"/>
        <item x="38"/>
        <item x="41"/>
        <item x="15"/>
        <item x="11"/>
        <item x="7"/>
        <item x="16"/>
        <item x="8"/>
        <item x="13"/>
        <item x="10"/>
        <item x="14"/>
        <item x="5"/>
        <item x="12"/>
        <item x="9"/>
        <item x="6"/>
        <item x="92"/>
        <item x="98"/>
        <item x="97"/>
        <item x="87"/>
        <item x="91"/>
        <item x="88"/>
        <item x="99"/>
        <item x="89"/>
        <item x="90"/>
        <item x="93"/>
        <item x="95"/>
        <item x="96"/>
        <item x="94"/>
        <item x="86"/>
        <item x="79"/>
        <item x="84"/>
        <item x="82"/>
        <item x="83"/>
        <item x="85"/>
        <item x="77"/>
        <item x="78"/>
        <item x="81"/>
        <item x="76"/>
        <item x="80"/>
        <item x="72"/>
        <item x="73"/>
        <item x="74"/>
        <item x="75"/>
        <item x="70"/>
        <item x="71"/>
        <item x="17"/>
        <item x="19"/>
        <item x="24"/>
        <item x="23"/>
        <item x="20"/>
        <item x="22"/>
        <item x="21"/>
        <item x="18"/>
        <item x="29"/>
        <item x="30"/>
        <item x="33"/>
        <item x="34"/>
        <item x="31"/>
        <item x="32"/>
        <item x="27"/>
        <item x="28"/>
        <item x="26"/>
        <item x="25"/>
        <item x="58"/>
        <item x="63"/>
        <item x="64"/>
        <item x="62"/>
        <item x="61"/>
        <item x="59"/>
        <item x="60"/>
        <item x="4"/>
        <item x="2"/>
        <item x="1"/>
        <item x="3"/>
        <item x="0"/>
        <item x="66"/>
        <item x="69"/>
        <item x="67"/>
        <item x="65"/>
        <item x="68"/>
        <item x="52"/>
        <item x="55"/>
        <item x="56"/>
        <item x="57"/>
        <item x="54"/>
        <item x="53"/>
        <item t="default"/>
      </items>
    </pivotField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a de Ventas" fld="6" baseField="0" baseItem="0" numFmtId="2"/>
  </dataFields>
  <formats count="1">
    <format dxfId="4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iudad" xr10:uid="{E89C9309-0284-4D78-A4DC-2152EFA1546D}" sourceName="Ciudad">
  <pivotTables>
    <pivotTable tabId="7" name="TablaDinámica1"/>
  </pivotTables>
  <data>
    <tabular pivotCacheId="1047064158">
      <items count="8">
        <i x="1" s="1"/>
        <i x="3" s="1"/>
        <i x="2" s="1"/>
        <i x="0" s="1"/>
        <i x="5" s="1"/>
        <i x="7" s="1"/>
        <i x="4" s="1"/>
        <i x="6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ducto" xr10:uid="{58383672-A65B-4960-96DD-2391871868B9}" sourceName="Producto">
  <pivotTables>
    <pivotTable tabId="7" name="TablaDinámica1"/>
  </pivotTables>
  <data>
    <tabular pivotCacheId="1047064158">
      <items count="5">
        <i x="0" s="1"/>
        <i x="3" s="1"/>
        <i x="4" s="1"/>
        <i x="2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Vendedor1" xr10:uid="{8C61C125-7E97-4396-B714-115C54811E3F}" sourceName="Vendedor">
  <pivotTables>
    <pivotTable tabId="20" name="TablaDinámica5"/>
  </pivotTables>
  <data>
    <tabular pivotCacheId="1047064158">
      <items count="9">
        <i x="2" s="1"/>
        <i x="8" s="1"/>
        <i x="0" s="1"/>
        <i x="4" s="1"/>
        <i x="5" s="1"/>
        <i x="3" s="1"/>
        <i x="7" s="1"/>
        <i x="6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erritorio" xr10:uid="{8794EC3C-8FB3-4410-BE94-1150A49F788C}" sourceName="Territorio">
  <pivotTables>
    <pivotTable tabId="20" name="TablaDinámica5"/>
  </pivotTables>
  <data>
    <tabular pivotCacheId="1047064158">
      <items count="2">
        <i x="1" s="1"/>
        <i x="0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ducto1" xr10:uid="{021C145B-570A-4F67-A0B4-6DE1CFB3070D}" sourceName="Producto">
  <pivotTables>
    <pivotTable tabId="20" name="TablaDinámica5"/>
  </pivotTables>
  <data>
    <tabular pivotCacheId="1047064158">
      <items count="5">
        <i x="0" s="1"/>
        <i x="3" s="1"/>
        <i x="4" s="1"/>
        <i x="2" s="1"/>
        <i x="1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es__Fecha" xr10:uid="{1FC94D41-D18B-4AB6-A9F3-AD066E5FD3AA}" sourceName="Meses (Fecha)">
  <pivotTables>
    <pivotTable tabId="20" name="TablaDinámica5"/>
  </pivotTables>
  <data>
    <tabular pivotCacheId="1047064158">
      <items count="14"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0" s="1" nd="1"/>
        <i x="13" s="1" nd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s__Fecha" xr10:uid="{40F2ADB0-7387-46AF-BD60-687E11355F90}" sourceName="Años (Fecha)">
  <pivotTables>
    <pivotTable tabId="20" name="TablaDinámica5"/>
  </pivotTables>
  <data>
    <tabular pivotCacheId="1047064158">
      <items count="4">
        <i x="1" s="1"/>
        <i x="2" s="1"/>
        <i x="0" s="1" nd="1"/>
        <i x="3" s="1" nd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Vendedor" xr10:uid="{904B5EEE-A135-420D-A053-7C4C7D36E6C5}" sourceName="Vendedor">
  <extLst>
    <x:ext xmlns:x15="http://schemas.microsoft.com/office/spreadsheetml/2010/11/main" uri="{2F2917AC-EB37-4324-AD4E-5DD8C200BD13}">
      <x15:tableSlicerCache tableId="1" column="8"/>
    </x:ext>
  </extLst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ivel_Venta" xr10:uid="{20608F5C-EEC1-4533-933F-48AE65A37FDE}" sourceName="Nivel_Venta">
  <extLst>
    <x:ext xmlns:x15="http://schemas.microsoft.com/office/spreadsheetml/2010/11/main" uri="{2F2917AC-EB37-4324-AD4E-5DD8C200BD13}">
      <x15:tableSlicerCache tableId="1" column="3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Vendedor" xr10:uid="{84F6653E-7375-4E06-8987-63280098565D}" cache="SegmentaciónDeDatos_Vendedor" caption="Vendedor" rowHeight="241300"/>
  <slicer name="Nivel_Venta" xr10:uid="{0B74E932-4162-4CCE-B822-4832D56671EE}" cache="SegmentaciónDeDatos_Nivel_Venta" caption="Nivel_Venta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iudad" xr10:uid="{0ED8AE56-6710-4D5C-91B4-C3F0EF790C7B}" cache="SegmentaciónDeDatos_Ciudad" caption="Ciudad" rowHeight="241300"/>
  <slicer name="Producto" xr10:uid="{790852E9-2168-4680-9E09-0D60902C85DD}" cache="SegmentaciónDeDatos_Producto" caption="Producto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Vendedor 1" xr10:uid="{6210548A-07D4-49E3-B56E-A5922F5310F6}" cache="SegmentaciónDeDatos_Vendedor1" caption="Vendedor" style="SlicerStyleDark5" rowHeight="241300"/>
  <slicer name="Territorio" xr10:uid="{161FFF9B-8195-4B98-8DEE-E403CD23B0AA}" cache="SegmentaciónDeDatos_Territorio" caption="Territorio" style="SlicerStyleLight6" rowHeight="241300"/>
  <slicer name="Producto 1" xr10:uid="{C7C6B64C-F1E0-4266-8AD1-068B4A5E55E9}" cache="SegmentaciónDeDatos_Producto1" caption="Producto" style="SlicerStyleDark2" rowHeight="241300"/>
  <slicer name="Meses (Fecha)" xr10:uid="{A3BD135A-06E6-411D-83CA-30A9E3E7D752}" cache="SegmentaciónDeDatos_Meses__Fecha" caption="Meses (Fecha)" style="SlicerStyleLight4" rowHeight="241300"/>
  <slicer name="Años (Fecha)" xr10:uid="{448ADE25-40D5-41C9-949F-62F4090D910E}" cache="SegmentaciónDeDatos_Años__Fecha" caption="Años (Fecha)" style="SlicerStyleLight4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1:K975" totalsRowShown="0">
  <autoFilter ref="A1:K975" xr:uid="{00000000-0009-0000-0100-000001000000}"/>
  <tableColumns count="11">
    <tableColumn id="2" xr3:uid="{00000000-0010-0000-0000-000002000000}" name="Lugar" dataDxfId="81"/>
    <tableColumn id="5" xr3:uid="{00000000-0010-0000-0000-000005000000}" name="Cliente" dataDxfId="80"/>
    <tableColumn id="8" xr3:uid="{00000000-0010-0000-0000-000008000000}" name="Vendedor" dataDxfId="79"/>
    <tableColumn id="17" xr3:uid="{00000000-0010-0000-0000-000011000000}" name="Territorio" dataDxfId="78"/>
    <tableColumn id="28" xr3:uid="{00000000-0010-0000-0000-00001C000000}" name="Fecha" dataDxfId="77"/>
    <tableColumn id="38" xr3:uid="{00000000-0010-0000-0000-000026000000}" name="Socio" dataDxfId="76"/>
    <tableColumn id="56" xr3:uid="{00000000-0010-0000-0000-000038000000}" name="Ventas" dataDxfId="75"/>
    <tableColumn id="57" xr3:uid="{00000000-0010-0000-0000-000039000000}" name="Cantidad" dataDxfId="74"/>
    <tableColumn id="68" xr3:uid="{00000000-0010-0000-0000-000044000000}" name="Producto" dataDxfId="73"/>
    <tableColumn id="1" xr3:uid="{21D22D75-1CAB-45EF-BC7A-1848761270AC}" name="Precio_Unitario" dataDxfId="72">
      <calculatedColumnFormula>+Table2[[#This Row],[Ventas]]/Table2[[#This Row],[Cantidad]]</calculatedColumnFormula>
    </tableColumn>
    <tableColumn id="3" xr3:uid="{48DB082E-6079-44FB-BB71-EC0E2C06A9E4}" name="Nivel_Venta" dataDxfId="71">
      <calculatedColumnFormula>+_xlfn.IFS(Table2[[#This Row],[Ventas]]&gt;200000,"Alta", Table2[[#This Row],[Ventas]]&gt;100000,"Media",TRUE,"Bajo")</calculatedColumnFormula>
    </tableColumn>
  </tableColumns>
  <tableStyleInfo name="TableStyleMedium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216458D-553A-4C94-85D2-E7257D05CC9A}" name="Tabla4" displayName="Tabla4" ref="M2:O4" totalsRowShown="0" headerRowDxfId="70" dataDxfId="69">
  <autoFilter ref="M2:O4" xr:uid="{7216458D-553A-4C94-85D2-E7257D05CC9A}"/>
  <tableColumns count="3">
    <tableColumn id="1" xr3:uid="{8D1C27E9-C648-4478-A356-27261832360E}" name="Territorio" dataDxfId="68"/>
    <tableColumn id="2" xr3:uid="{CEC9959C-250E-4A61-BCF9-E982B662889B}" name="Total_vendido" dataDxfId="67">
      <calculatedColumnFormula>+SUMIFS(G:G,D:D,"Sur")</calculatedColumnFormula>
    </tableColumn>
    <tableColumn id="3" xr3:uid="{92436DC2-EBB1-4826-BD7B-A3B124014BF4}" name="Promedio/Territorio" dataDxfId="66">
      <calculatedColumnFormula>AVERAGEIFS(G:G,D:D,"Norte")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B27AB0E-7BAA-4FC2-A381-8C88BD024909}" name="Tabla5" displayName="Tabla5" ref="M6:N10" totalsRowShown="0" headerRowDxfId="65" dataDxfId="64">
  <autoFilter ref="M6:N10" xr:uid="{DB27AB0E-7BAA-4FC2-A381-8C88BD024909}"/>
  <tableColumns count="2">
    <tableColumn id="1" xr3:uid="{6516B8E3-F461-43B4-8CA8-6C9C68CD7FDE}" name="Socio" dataDxfId="63"/>
    <tableColumn id="2" xr3:uid="{2E1AC4A5-2CC2-40A9-AC0D-EE638626A0F4}" name="Total_vendido" dataDxfId="6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DB460E-A2F3-4F9D-88C6-E9E746D474A9}" name="Tabla2" displayName="Tabla2" ref="A1:L975" totalsRowShown="0">
  <autoFilter ref="A1:L975" xr:uid="{B0DB460E-A2F3-4F9D-88C6-E9E746D474A9}"/>
  <tableColumns count="12">
    <tableColumn id="1" xr3:uid="{F0551ED5-E515-4B12-A0DF-B1A21BB32B60}" name="Ciudad"/>
    <tableColumn id="2" xr3:uid="{CD2D29EE-BCC7-4EB1-BA02-C978D6CA9951}" name="Lugar"/>
    <tableColumn id="3" xr3:uid="{A75D7B17-B1A5-489C-8892-F6867F76A4E3}" name="Cliente"/>
    <tableColumn id="4" xr3:uid="{B37E168E-FF09-4A48-8038-00462C0FA448}" name="Vendedor"/>
    <tableColumn id="5" xr3:uid="{75945D35-0080-409A-8CF2-3916174113FF}" name="Territorio"/>
    <tableColumn id="6" xr3:uid="{9367CC6F-9CB2-4051-B40A-EFB15C0C531C}" name="Socio"/>
    <tableColumn id="7" xr3:uid="{DEF6E4EB-5B37-49F5-9223-477A672BE9C9}" name="Ventas"/>
    <tableColumn id="8" xr3:uid="{21BC16B3-975E-40ED-9D79-1E32ED956E92}" name="Cantidad"/>
    <tableColumn id="9" xr3:uid="{B23AABAE-A567-47FC-B465-47A2739F78A7}" name="Producto"/>
    <tableColumn id="10" xr3:uid="{73C898DA-6922-405D-BA96-2410E2F4123D}" name="Fecha" dataDxfId="61"/>
    <tableColumn id="11" xr3:uid="{EEA58CD2-F6AA-4359-99BB-9E2D3EC08213}" name="Precio_Unitario" dataDxfId="60"/>
    <tableColumn id="12" xr3:uid="{2C27E727-3DA4-4DF4-9B5C-6A1D19E05F5A}" name="Nivel_Venta" dataDxfId="59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5" Type="http://schemas.microsoft.com/office/2007/relationships/slicer" Target="../slicers/slicer1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5" Type="http://schemas.microsoft.com/office/2007/relationships/slicer" Target="../slicers/slicer3.xm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59999389629810485"/>
  </sheetPr>
  <dimension ref="A1:P975"/>
  <sheetViews>
    <sheetView topLeftCell="B1" zoomScale="90" zoomScaleNormal="90" workbookViewId="0">
      <selection activeCell="B19" sqref="B19"/>
    </sheetView>
  </sheetViews>
  <sheetFormatPr baseColWidth="10" defaultColWidth="8.85546875" defaultRowHeight="15" x14ac:dyDescent="0.25"/>
  <cols>
    <col min="1" max="1" width="22.28515625" style="1" customWidth="1"/>
    <col min="2" max="2" width="34.42578125" style="1" bestFit="1" customWidth="1"/>
    <col min="3" max="3" width="12.42578125" style="1" customWidth="1"/>
    <col min="4" max="4" width="15" style="1" customWidth="1"/>
    <col min="5" max="5" width="15.5703125" style="2" customWidth="1"/>
    <col min="6" max="6" width="15" style="1" customWidth="1"/>
    <col min="7" max="7" width="16.5703125" style="1" bestFit="1" customWidth="1"/>
    <col min="8" max="8" width="13.140625" style="1" customWidth="1"/>
    <col min="9" max="9" width="23.28515625" style="1" customWidth="1"/>
    <col min="10" max="10" width="16.42578125" customWidth="1"/>
    <col min="11" max="11" width="17.5703125" bestFit="1" customWidth="1"/>
    <col min="12" max="12" width="15.5703125" bestFit="1" customWidth="1"/>
    <col min="13" max="13" width="16.5703125" style="1" bestFit="1" customWidth="1"/>
    <col min="14" max="14" width="20.5703125" style="1" customWidth="1"/>
    <col min="15" max="15" width="23.7109375" style="1" customWidth="1"/>
    <col min="16" max="16" width="18.42578125" customWidth="1"/>
  </cols>
  <sheetData>
    <row r="1" spans="1:15" x14ac:dyDescent="0.25">
      <c r="A1" s="1" t="s">
        <v>94</v>
      </c>
      <c r="B1" s="1" t="s">
        <v>103</v>
      </c>
      <c r="C1" s="1" t="s">
        <v>0</v>
      </c>
      <c r="D1" s="1" t="s">
        <v>1</v>
      </c>
      <c r="E1" s="2" t="s">
        <v>104</v>
      </c>
      <c r="F1" s="1" t="s">
        <v>2</v>
      </c>
      <c r="G1" s="1" t="s">
        <v>83</v>
      </c>
      <c r="H1" s="1" t="s">
        <v>3</v>
      </c>
      <c r="I1" s="1" t="s">
        <v>78</v>
      </c>
      <c r="J1" t="s">
        <v>159</v>
      </c>
      <c r="K1" t="s">
        <v>160</v>
      </c>
    </row>
    <row r="2" spans="1:15" x14ac:dyDescent="0.25">
      <c r="A2" s="1" t="s">
        <v>97</v>
      </c>
      <c r="B2" s="1" t="s">
        <v>31</v>
      </c>
      <c r="C2" s="1" t="s">
        <v>90</v>
      </c>
      <c r="D2" s="1" t="s">
        <v>9</v>
      </c>
      <c r="E2" s="2">
        <v>42490.457638888889</v>
      </c>
      <c r="F2" s="1" t="s">
        <v>6</v>
      </c>
      <c r="G2" s="1">
        <v>173330</v>
      </c>
      <c r="H2" s="1">
        <v>24</v>
      </c>
      <c r="I2" s="1" t="s">
        <v>79</v>
      </c>
      <c r="J2" s="1">
        <f>+Table2[[#This Row],[Ventas]]/Table2[[#This Row],[Cantidad]]</f>
        <v>7222.083333333333</v>
      </c>
      <c r="K2" s="1" t="str">
        <f>+_xlfn.IFS(Table2[[#This Row],[Ventas]]&gt;200000,"Alta", Table2[[#This Row],[Ventas]]&gt;100000,"Media",TRUE,"Bajo")</f>
        <v>Media</v>
      </c>
      <c r="M2" s="1" t="s">
        <v>1</v>
      </c>
      <c r="N2" s="1" t="s">
        <v>164</v>
      </c>
      <c r="O2" s="1" t="s">
        <v>172</v>
      </c>
    </row>
    <row r="3" spans="1:15" x14ac:dyDescent="0.25">
      <c r="A3" s="1" t="s">
        <v>99</v>
      </c>
      <c r="B3" s="1" t="s">
        <v>123</v>
      </c>
      <c r="C3" s="1" t="s">
        <v>92</v>
      </c>
      <c r="D3" s="1" t="s">
        <v>5</v>
      </c>
      <c r="E3" s="2">
        <v>42482.457638888889</v>
      </c>
      <c r="F3" s="1" t="s">
        <v>6</v>
      </c>
      <c r="G3" s="1">
        <v>235562</v>
      </c>
      <c r="H3" s="1">
        <v>16</v>
      </c>
      <c r="I3" s="1" t="s">
        <v>93</v>
      </c>
      <c r="J3" s="1">
        <f>+Table2[[#This Row],[Ventas]]/Table2[[#This Row],[Cantidad]]</f>
        <v>14722.625</v>
      </c>
      <c r="K3" s="1" t="str">
        <f>+_xlfn.IFS(Table2[[#This Row],[Ventas]]&gt;200000,"Alta", Table2[[#This Row],[Ventas]]&gt;100000,"Media",TRUE,"Bajo")</f>
        <v>Alta</v>
      </c>
      <c r="M3" s="1" t="s">
        <v>5</v>
      </c>
      <c r="N3" s="1">
        <f>+SUMIFS(G:G,D:D,"Norte")</f>
        <v>61386576</v>
      </c>
      <c r="O3" s="1">
        <f>AVERAGEIFS(G:G,D:D,"Norte")</f>
        <v>149359.06569343066</v>
      </c>
    </row>
    <row r="4" spans="1:15" x14ac:dyDescent="0.25">
      <c r="A4" s="1" t="s">
        <v>99</v>
      </c>
      <c r="B4" s="1" t="s">
        <v>23</v>
      </c>
      <c r="C4" s="1" t="s">
        <v>92</v>
      </c>
      <c r="D4" s="1" t="s">
        <v>5</v>
      </c>
      <c r="E4" s="2">
        <v>42482.457638888889</v>
      </c>
      <c r="F4" s="1" t="s">
        <v>6</v>
      </c>
      <c r="G4" s="1">
        <v>98041</v>
      </c>
      <c r="H4" s="1">
        <v>33</v>
      </c>
      <c r="I4" s="1" t="s">
        <v>93</v>
      </c>
      <c r="J4" s="1">
        <f>+Table2[[#This Row],[Ventas]]/Table2[[#This Row],[Cantidad]]</f>
        <v>2970.939393939394</v>
      </c>
      <c r="K4" s="1" t="str">
        <f>+_xlfn.IFS(Table2[[#This Row],[Ventas]]&gt;200000,"Alta", Table2[[#This Row],[Ventas]]&gt;100000,"Media",TRUE,"Bajo")</f>
        <v>Bajo</v>
      </c>
      <c r="M4" s="1" t="s">
        <v>9</v>
      </c>
      <c r="N4" s="1">
        <f>+SUMIFS(G:G,D:D,"Sur")</f>
        <v>85178402</v>
      </c>
      <c r="O4" s="1">
        <f>AVERAGEIFS(G:G,D:D,"Sur")</f>
        <v>151293.78685612787</v>
      </c>
    </row>
    <row r="5" spans="1:15" x14ac:dyDescent="0.25">
      <c r="A5" s="1" t="s">
        <v>99</v>
      </c>
      <c r="B5" s="1" t="s">
        <v>141</v>
      </c>
      <c r="C5" s="1" t="s">
        <v>92</v>
      </c>
      <c r="D5" s="1" t="s">
        <v>5</v>
      </c>
      <c r="E5" s="2">
        <v>42481.457638888889</v>
      </c>
      <c r="F5" s="1" t="s">
        <v>6</v>
      </c>
      <c r="G5" s="1">
        <v>112955</v>
      </c>
      <c r="H5" s="1">
        <v>30</v>
      </c>
      <c r="I5" s="1" t="s">
        <v>93</v>
      </c>
      <c r="J5" s="1">
        <f>+Table2[[#This Row],[Ventas]]/Table2[[#This Row],[Cantidad]]</f>
        <v>3765.1666666666665</v>
      </c>
      <c r="K5" s="1" t="str">
        <f>+_xlfn.IFS(Table2[[#This Row],[Ventas]]&gt;200000,"Alta", Table2[[#This Row],[Ventas]]&gt;100000,"Media",TRUE,"Bajo")</f>
        <v>Media</v>
      </c>
    </row>
    <row r="6" spans="1:15" x14ac:dyDescent="0.25">
      <c r="A6" s="1" t="s">
        <v>100</v>
      </c>
      <c r="B6" s="1" t="s">
        <v>110</v>
      </c>
      <c r="C6" s="1" t="s">
        <v>92</v>
      </c>
      <c r="D6" s="1" t="s">
        <v>5</v>
      </c>
      <c r="E6" s="2">
        <v>42489.457638888889</v>
      </c>
      <c r="F6" s="1" t="s">
        <v>7</v>
      </c>
      <c r="G6" s="1">
        <v>183858</v>
      </c>
      <c r="H6" s="1">
        <v>31</v>
      </c>
      <c r="I6" s="1" t="s">
        <v>81</v>
      </c>
      <c r="J6" s="1">
        <f>+Table2[[#This Row],[Ventas]]/Table2[[#This Row],[Cantidad]]</f>
        <v>5930.9032258064517</v>
      </c>
      <c r="K6" s="1" t="str">
        <f>+_xlfn.IFS(Table2[[#This Row],[Ventas]]&gt;200000,"Alta", Table2[[#This Row],[Ventas]]&gt;100000,"Media",TRUE,"Bajo")</f>
        <v>Media</v>
      </c>
      <c r="M6" s="1" t="s">
        <v>2</v>
      </c>
      <c r="N6" s="1" t="s">
        <v>164</v>
      </c>
    </row>
    <row r="7" spans="1:15" x14ac:dyDescent="0.25">
      <c r="A7" s="1" t="s">
        <v>101</v>
      </c>
      <c r="B7" s="1" t="s">
        <v>135</v>
      </c>
      <c r="C7" s="1" t="s">
        <v>92</v>
      </c>
      <c r="D7" s="1" t="s">
        <v>5</v>
      </c>
      <c r="E7" s="2">
        <v>42482.457638888889</v>
      </c>
      <c r="F7" s="1" t="s">
        <v>6</v>
      </c>
      <c r="G7" s="1">
        <v>232459</v>
      </c>
      <c r="H7" s="1">
        <v>29</v>
      </c>
      <c r="I7" s="1" t="s">
        <v>93</v>
      </c>
      <c r="J7" s="1">
        <f>+Table2[[#This Row],[Ventas]]/Table2[[#This Row],[Cantidad]]</f>
        <v>8015.8275862068967</v>
      </c>
      <c r="K7" s="1" t="str">
        <f>+_xlfn.IFS(Table2[[#This Row],[Ventas]]&gt;200000,"Alta", Table2[[#This Row],[Ventas]]&gt;100000,"Media",TRUE,"Bajo")</f>
        <v>Alta</v>
      </c>
      <c r="M7" s="1" t="s">
        <v>10</v>
      </c>
      <c r="N7" s="1">
        <f>+SUMIFS(G:G,F:F,"George")</f>
        <v>6096061</v>
      </c>
    </row>
    <row r="8" spans="1:15" x14ac:dyDescent="0.25">
      <c r="A8" s="1" t="s">
        <v>102</v>
      </c>
      <c r="B8" s="1" t="s">
        <v>31</v>
      </c>
      <c r="C8" s="1" t="s">
        <v>90</v>
      </c>
      <c r="D8" s="1" t="s">
        <v>9</v>
      </c>
      <c r="E8" s="2">
        <v>42490.457638888889</v>
      </c>
      <c r="F8" s="1" t="s">
        <v>6</v>
      </c>
      <c r="G8" s="1">
        <v>249370</v>
      </c>
      <c r="H8" s="1">
        <v>27</v>
      </c>
      <c r="I8" s="1" t="s">
        <v>81</v>
      </c>
      <c r="J8" s="1">
        <f>+Table2[[#This Row],[Ventas]]/Table2[[#This Row],[Cantidad]]</f>
        <v>9235.9259259259252</v>
      </c>
      <c r="K8" s="1" t="str">
        <f>+_xlfn.IFS(Table2[[#This Row],[Ventas]]&gt;200000,"Alta", Table2[[#This Row],[Ventas]]&gt;100000,"Media",TRUE,"Bajo")</f>
        <v>Alta</v>
      </c>
      <c r="M8" s="1" t="s">
        <v>7</v>
      </c>
      <c r="N8" s="1">
        <f>+SUMIFS(G:G,F:F,"John")</f>
        <v>32706823</v>
      </c>
    </row>
    <row r="9" spans="1:15" x14ac:dyDescent="0.25">
      <c r="A9" s="1" t="s">
        <v>102</v>
      </c>
      <c r="B9" s="1" t="s">
        <v>42</v>
      </c>
      <c r="C9" s="1" t="s">
        <v>92</v>
      </c>
      <c r="D9" s="1" t="s">
        <v>5</v>
      </c>
      <c r="E9" s="2">
        <v>42473.457638888889</v>
      </c>
      <c r="F9" s="1" t="s">
        <v>6</v>
      </c>
      <c r="G9" s="1">
        <v>149041</v>
      </c>
      <c r="H9" s="1">
        <v>24</v>
      </c>
      <c r="I9" s="1" t="s">
        <v>93</v>
      </c>
      <c r="J9" s="1">
        <f>+Table2[[#This Row],[Ventas]]/Table2[[#This Row],[Cantidad]]</f>
        <v>6210.041666666667</v>
      </c>
      <c r="K9" s="1" t="str">
        <f>+_xlfn.IFS(Table2[[#This Row],[Ventas]]&gt;200000,"Alta", Table2[[#This Row],[Ventas]]&gt;100000,"Media",TRUE,"Bajo")</f>
        <v>Media</v>
      </c>
      <c r="M9" s="1" t="s">
        <v>12</v>
      </c>
      <c r="N9" s="1">
        <f>+SUMIFS(G:G,F:F,"Paul")</f>
        <v>13129951</v>
      </c>
    </row>
    <row r="10" spans="1:15" x14ac:dyDescent="0.25">
      <c r="A10" s="1" t="s">
        <v>95</v>
      </c>
      <c r="B10" s="1" t="s">
        <v>130</v>
      </c>
      <c r="C10" s="1" t="s">
        <v>86</v>
      </c>
      <c r="D10" s="1" t="s">
        <v>5</v>
      </c>
      <c r="E10" s="2">
        <v>42242.457638888889</v>
      </c>
      <c r="F10" s="1" t="s">
        <v>7</v>
      </c>
      <c r="G10" s="1">
        <v>186253</v>
      </c>
      <c r="H10" s="1">
        <v>17</v>
      </c>
      <c r="I10" s="1" t="s">
        <v>79</v>
      </c>
      <c r="J10" s="1">
        <f>+Table2[[#This Row],[Ventas]]/Table2[[#This Row],[Cantidad]]</f>
        <v>10956.058823529413</v>
      </c>
      <c r="K10" s="1" t="str">
        <f>+_xlfn.IFS(Table2[[#This Row],[Ventas]]&gt;200000,"Alta", Table2[[#This Row],[Ventas]]&gt;100000,"Media",TRUE,"Bajo")</f>
        <v>Media</v>
      </c>
      <c r="M10" s="1" t="s">
        <v>6</v>
      </c>
      <c r="N10" s="1">
        <f>+SUMIFS(G:G,F:F,"Ringo")</f>
        <v>94632143</v>
      </c>
    </row>
    <row r="11" spans="1:15" x14ac:dyDescent="0.25">
      <c r="A11" s="1" t="s">
        <v>95</v>
      </c>
      <c r="B11" s="1" t="s">
        <v>138</v>
      </c>
      <c r="C11" s="1" t="s">
        <v>92</v>
      </c>
      <c r="D11" s="1" t="s">
        <v>5</v>
      </c>
      <c r="E11" s="2">
        <v>42247.457638888889</v>
      </c>
      <c r="F11" s="1" t="s">
        <v>7</v>
      </c>
      <c r="G11" s="1">
        <v>154709</v>
      </c>
      <c r="H11" s="1">
        <v>37</v>
      </c>
      <c r="I11" s="1" t="s">
        <v>82</v>
      </c>
      <c r="J11" s="1">
        <f>+Table2[[#This Row],[Ventas]]/Table2[[#This Row],[Cantidad]]</f>
        <v>4181.3243243243242</v>
      </c>
      <c r="K11" s="1" t="str">
        <f>+_xlfn.IFS(Table2[[#This Row],[Ventas]]&gt;200000,"Alta", Table2[[#This Row],[Ventas]]&gt;100000,"Media",TRUE,"Bajo")</f>
        <v>Media</v>
      </c>
    </row>
    <row r="12" spans="1:15" x14ac:dyDescent="0.25">
      <c r="A12" s="1" t="s">
        <v>96</v>
      </c>
      <c r="B12" s="1" t="s">
        <v>4</v>
      </c>
      <c r="C12" s="1" t="s">
        <v>86</v>
      </c>
      <c r="D12" s="1" t="s">
        <v>5</v>
      </c>
      <c r="E12" s="2">
        <v>42230.457638888889</v>
      </c>
      <c r="F12" s="1" t="s">
        <v>6</v>
      </c>
      <c r="G12" s="1">
        <v>198586</v>
      </c>
      <c r="H12" s="1">
        <v>28</v>
      </c>
      <c r="I12" s="1" t="s">
        <v>79</v>
      </c>
      <c r="J12" s="1">
        <f>+Table2[[#This Row],[Ventas]]/Table2[[#This Row],[Cantidad]]</f>
        <v>7092.3571428571431</v>
      </c>
      <c r="K12" s="1" t="str">
        <f>+_xlfn.IFS(Table2[[#This Row],[Ventas]]&gt;200000,"Alta", Table2[[#This Row],[Ventas]]&gt;100000,"Media",TRUE,"Bajo")</f>
        <v>Media</v>
      </c>
      <c r="M12" s="3" t="s">
        <v>0</v>
      </c>
      <c r="N12" s="3" t="s">
        <v>168</v>
      </c>
      <c r="O12" s="3" t="s">
        <v>164</v>
      </c>
    </row>
    <row r="13" spans="1:15" x14ac:dyDescent="0.25">
      <c r="A13" s="1" t="s">
        <v>96</v>
      </c>
      <c r="B13" s="1" t="s">
        <v>14</v>
      </c>
      <c r="C13" s="1" t="s">
        <v>89</v>
      </c>
      <c r="D13" s="1" t="s">
        <v>9</v>
      </c>
      <c r="E13" s="2">
        <v>42235.457638888889</v>
      </c>
      <c r="F13" s="1" t="s">
        <v>6</v>
      </c>
      <c r="G13" s="1">
        <v>100738</v>
      </c>
      <c r="H13" s="1">
        <v>15</v>
      </c>
      <c r="I13" s="1" t="s">
        <v>80</v>
      </c>
      <c r="J13" s="1">
        <f>+Table2[[#This Row],[Ventas]]/Table2[[#This Row],[Cantidad]]</f>
        <v>6715.8666666666668</v>
      </c>
      <c r="K13" s="1" t="str">
        <f>+_xlfn.IFS(Table2[[#This Row],[Ventas]]&gt;200000,"Alta", Table2[[#This Row],[Ventas]]&gt;100000,"Media",TRUE,"Bajo")</f>
        <v>Media</v>
      </c>
      <c r="M13" s="3" t="s">
        <v>161</v>
      </c>
      <c r="N13" s="3">
        <f>+COUNTIFS(Datos_Peru!C:C,"José")</f>
        <v>93</v>
      </c>
      <c r="O13" s="3">
        <f>+SUMIFS(Datos_Peru!G:G,Datos_Peru!C:C,"José")</f>
        <v>13535221</v>
      </c>
    </row>
    <row r="14" spans="1:15" x14ac:dyDescent="0.25">
      <c r="A14" s="1" t="s">
        <v>96</v>
      </c>
      <c r="B14" s="1" t="s">
        <v>39</v>
      </c>
      <c r="C14" s="1" t="s">
        <v>92</v>
      </c>
      <c r="D14" s="1" t="s">
        <v>5</v>
      </c>
      <c r="E14" s="2">
        <v>42247.457638888889</v>
      </c>
      <c r="F14" s="1" t="s">
        <v>7</v>
      </c>
      <c r="G14" s="1">
        <v>157832</v>
      </c>
      <c r="H14" s="1">
        <v>40</v>
      </c>
      <c r="I14" s="1" t="s">
        <v>81</v>
      </c>
      <c r="J14" s="1">
        <f>+Table2[[#This Row],[Ventas]]/Table2[[#This Row],[Cantidad]]</f>
        <v>3945.8</v>
      </c>
      <c r="K14" s="1" t="str">
        <f>+_xlfn.IFS(Table2[[#This Row],[Ventas]]&gt;200000,"Alta", Table2[[#This Row],[Ventas]]&gt;100000,"Media",TRUE,"Bajo")</f>
        <v>Media</v>
      </c>
      <c r="M14" s="3" t="s">
        <v>162</v>
      </c>
      <c r="N14" s="3">
        <f>+COUNTIFS(Datos_Peru!C:C,"Víctor")</f>
        <v>254</v>
      </c>
      <c r="O14" s="3">
        <f>+SUMIFS(Datos_Peru!G:G,Datos_Peru!C:C,"Víctor")</f>
        <v>38761317</v>
      </c>
    </row>
    <row r="15" spans="1:15" x14ac:dyDescent="0.25">
      <c r="A15" s="1" t="s">
        <v>96</v>
      </c>
      <c r="B15" s="1" t="s">
        <v>39</v>
      </c>
      <c r="C15" s="1" t="s">
        <v>92</v>
      </c>
      <c r="D15" s="1" t="s">
        <v>5</v>
      </c>
      <c r="E15" s="2">
        <v>42247.457638888889</v>
      </c>
      <c r="F15" s="1" t="s">
        <v>7</v>
      </c>
      <c r="G15" s="1">
        <v>244028</v>
      </c>
      <c r="H15" s="1">
        <v>24</v>
      </c>
      <c r="I15" s="1" t="s">
        <v>79</v>
      </c>
      <c r="J15" s="1">
        <f>+Table2[[#This Row],[Ventas]]/Table2[[#This Row],[Cantidad]]</f>
        <v>10167.833333333334</v>
      </c>
      <c r="K15" s="1" t="str">
        <f>+_xlfn.IFS(Table2[[#This Row],[Ventas]]&gt;200000,"Alta", Table2[[#This Row],[Ventas]]&gt;100000,"Media",TRUE,"Bajo")</f>
        <v>Alta</v>
      </c>
      <c r="M15" s="3" t="s">
        <v>86</v>
      </c>
      <c r="N15" s="3">
        <f>+COUNTIFS(Datos_Peru!C:C,"Edwin")</f>
        <v>93</v>
      </c>
      <c r="O15" s="3">
        <f>+SUMIFS(Datos_Peru!G:G,Datos_Peru!C:C,"Edwin")</f>
        <v>13149429</v>
      </c>
    </row>
    <row r="16" spans="1:15" x14ac:dyDescent="0.25">
      <c r="A16" s="1" t="s">
        <v>97</v>
      </c>
      <c r="B16" s="1" t="s">
        <v>123</v>
      </c>
      <c r="C16" s="1" t="s">
        <v>88</v>
      </c>
      <c r="D16" s="1" t="s">
        <v>9</v>
      </c>
      <c r="E16" s="2">
        <v>42244.457638888889</v>
      </c>
      <c r="F16" s="1" t="s">
        <v>6</v>
      </c>
      <c r="G16" s="1">
        <v>164158</v>
      </c>
      <c r="H16" s="1">
        <v>28</v>
      </c>
      <c r="I16" s="1" t="s">
        <v>80</v>
      </c>
      <c r="J16" s="1">
        <f>+Table2[[#This Row],[Ventas]]/Table2[[#This Row],[Cantidad]]</f>
        <v>5862.7857142857147</v>
      </c>
      <c r="K16" s="1" t="str">
        <f>+_xlfn.IFS(Table2[[#This Row],[Ventas]]&gt;200000,"Alta", Table2[[#This Row],[Ventas]]&gt;100000,"Media",TRUE,"Bajo")</f>
        <v>Media</v>
      </c>
      <c r="M16" s="3" t="s">
        <v>89</v>
      </c>
      <c r="N16" s="3">
        <f>+COUNTIFS(Datos_Peru!C:C,"Nadia")</f>
        <v>83</v>
      </c>
      <c r="O16" s="3">
        <f>+SUMIFS(Datos_Peru!G:G,Datos_Peru!C:C,"Nadia")</f>
        <v>12271934</v>
      </c>
    </row>
    <row r="17" spans="1:16" x14ac:dyDescent="0.25">
      <c r="A17" s="1" t="s">
        <v>97</v>
      </c>
      <c r="B17" s="1" t="s">
        <v>4</v>
      </c>
      <c r="C17" s="1" t="s">
        <v>84</v>
      </c>
      <c r="D17" s="1" t="s">
        <v>5</v>
      </c>
      <c r="E17" s="2">
        <v>42247.457638888889</v>
      </c>
      <c r="F17" s="1" t="s">
        <v>7</v>
      </c>
      <c r="G17" s="1">
        <v>237486</v>
      </c>
      <c r="H17" s="1">
        <v>36</v>
      </c>
      <c r="I17" s="1" t="s">
        <v>93</v>
      </c>
      <c r="J17" s="1">
        <f>+Table2[[#This Row],[Ventas]]/Table2[[#This Row],[Cantidad]]</f>
        <v>6596.833333333333</v>
      </c>
      <c r="K17" s="1" t="str">
        <f>+_xlfn.IFS(Table2[[#This Row],[Ventas]]&gt;200000,"Alta", Table2[[#This Row],[Ventas]]&gt;100000,"Media",TRUE,"Bajo")</f>
        <v>Alta</v>
      </c>
      <c r="M17" s="3" t="s">
        <v>88</v>
      </c>
      <c r="N17" s="3">
        <f>+COUNTIFS(Datos_Peru!C:C,"Marco")</f>
        <v>93</v>
      </c>
      <c r="O17" s="3">
        <f>+SUMIFS(Datos_Peru!G:G,Datos_Peru!C:C,"Marco")</f>
        <v>16129498</v>
      </c>
    </row>
    <row r="18" spans="1:16" x14ac:dyDescent="0.25">
      <c r="A18" s="1" t="s">
        <v>97</v>
      </c>
      <c r="B18" s="1" t="s">
        <v>18</v>
      </c>
      <c r="C18" s="1" t="s">
        <v>86</v>
      </c>
      <c r="D18" s="1" t="s">
        <v>9</v>
      </c>
      <c r="E18" s="2">
        <v>42237.457638888889</v>
      </c>
      <c r="F18" s="1" t="s">
        <v>6</v>
      </c>
      <c r="G18" s="1">
        <v>236324</v>
      </c>
      <c r="H18" s="1">
        <v>25</v>
      </c>
      <c r="I18" s="1" t="s">
        <v>93</v>
      </c>
      <c r="J18" s="1">
        <f>+Table2[[#This Row],[Ventas]]/Table2[[#This Row],[Cantidad]]</f>
        <v>9452.9599999999991</v>
      </c>
      <c r="K18" s="1" t="str">
        <f>+_xlfn.IFS(Table2[[#This Row],[Ventas]]&gt;200000,"Alta", Table2[[#This Row],[Ventas]]&gt;100000,"Media",TRUE,"Bajo")</f>
        <v>Alta</v>
      </c>
      <c r="M18" s="3" t="s">
        <v>163</v>
      </c>
      <c r="N18" s="3">
        <f>+COUNTIFS(Datos_Peru!C:C,"María")</f>
        <v>80</v>
      </c>
      <c r="O18" s="3">
        <f>+SUMIFS(Datos_Peru!G:G,Datos_Peru!C:C,"María")</f>
        <v>11510967</v>
      </c>
    </row>
    <row r="19" spans="1:16" x14ac:dyDescent="0.25">
      <c r="A19" s="1" t="s">
        <v>98</v>
      </c>
      <c r="B19" s="1" t="s">
        <v>19</v>
      </c>
      <c r="C19" s="1" t="s">
        <v>89</v>
      </c>
      <c r="D19" s="1" t="s">
        <v>9</v>
      </c>
      <c r="E19" s="2">
        <v>42247.457638888889</v>
      </c>
      <c r="F19" s="1" t="s">
        <v>6</v>
      </c>
      <c r="G19" s="1">
        <v>175071</v>
      </c>
      <c r="H19" s="1">
        <v>38</v>
      </c>
      <c r="I19" s="1" t="s">
        <v>80</v>
      </c>
      <c r="J19" s="1">
        <f>+Table2[[#This Row],[Ventas]]/Table2[[#This Row],[Cantidad]]</f>
        <v>4607.1315789473683</v>
      </c>
      <c r="K19" s="1" t="str">
        <f>+_xlfn.IFS(Table2[[#This Row],[Ventas]]&gt;200000,"Alta", Table2[[#This Row],[Ventas]]&gt;100000,"Media",TRUE,"Bajo")</f>
        <v>Media</v>
      </c>
      <c r="M19" s="3" t="s">
        <v>87</v>
      </c>
      <c r="N19" s="3">
        <f>+COUNTIFS(Datos_Peru!C:C,"Rosa")</f>
        <v>80</v>
      </c>
      <c r="O19" s="3">
        <f>+SUMIFS(Datos_Peru!G:G,Datos_Peru!C:C,"Rosa")</f>
        <v>11857489</v>
      </c>
    </row>
    <row r="20" spans="1:16" x14ac:dyDescent="0.25">
      <c r="A20" s="1" t="s">
        <v>98</v>
      </c>
      <c r="B20" s="1" t="s">
        <v>4</v>
      </c>
      <c r="C20" s="1" t="s">
        <v>92</v>
      </c>
      <c r="D20" s="1" t="s">
        <v>5</v>
      </c>
      <c r="E20" s="2">
        <v>42230.457638888889</v>
      </c>
      <c r="F20" s="1" t="s">
        <v>6</v>
      </c>
      <c r="G20" s="1">
        <v>145417</v>
      </c>
      <c r="H20" s="1">
        <v>22</v>
      </c>
      <c r="I20" s="1" t="s">
        <v>79</v>
      </c>
      <c r="J20" s="1">
        <f>+Table2[[#This Row],[Ventas]]/Table2[[#This Row],[Cantidad]]</f>
        <v>6609.863636363636</v>
      </c>
      <c r="K20" s="1" t="str">
        <f>+_xlfn.IFS(Table2[[#This Row],[Ventas]]&gt;200000,"Alta", Table2[[#This Row],[Ventas]]&gt;100000,"Media",TRUE,"Bajo")</f>
        <v>Media</v>
      </c>
      <c r="M20" s="3" t="s">
        <v>85</v>
      </c>
      <c r="N20" s="3">
        <f>+COUNTIFS(Datos_Peru!C:C,"Javier")</f>
        <v>26</v>
      </c>
      <c r="O20" s="3">
        <f>+SUMIFS(Datos_Peru!G:G,Datos_Peru!C:C,"Javier")</f>
        <v>3838966</v>
      </c>
    </row>
    <row r="21" spans="1:16" x14ac:dyDescent="0.25">
      <c r="A21" s="1" t="s">
        <v>98</v>
      </c>
      <c r="B21" s="1" t="s">
        <v>4</v>
      </c>
      <c r="C21" s="1" t="s">
        <v>86</v>
      </c>
      <c r="D21" s="1" t="s">
        <v>5</v>
      </c>
      <c r="E21" s="2">
        <v>42230.457638888889</v>
      </c>
      <c r="F21" s="1" t="s">
        <v>6</v>
      </c>
      <c r="G21" s="1">
        <v>164588</v>
      </c>
      <c r="H21" s="1">
        <v>41</v>
      </c>
      <c r="I21" s="1" t="s">
        <v>80</v>
      </c>
      <c r="J21" s="1">
        <f>+Table2[[#This Row],[Ventas]]/Table2[[#This Row],[Cantidad]]</f>
        <v>4014.3414634146343</v>
      </c>
      <c r="K21" s="1" t="str">
        <f>+_xlfn.IFS(Table2[[#This Row],[Ventas]]&gt;200000,"Alta", Table2[[#This Row],[Ventas]]&gt;100000,"Media",TRUE,"Bajo")</f>
        <v>Media</v>
      </c>
      <c r="M21" s="3" t="s">
        <v>91</v>
      </c>
      <c r="N21" s="3">
        <f>+COUNTIFS(Datos_Peru!C:C,"Nora")</f>
        <v>172</v>
      </c>
      <c r="O21" s="3">
        <f>+SUMIFS(Datos_Peru!G:G,Datos_Peru!C:C,"Nora")</f>
        <v>25510157</v>
      </c>
    </row>
    <row r="22" spans="1:16" x14ac:dyDescent="0.25">
      <c r="A22" s="1" t="s">
        <v>98</v>
      </c>
      <c r="B22" s="1" t="s">
        <v>16</v>
      </c>
      <c r="C22" s="1" t="s">
        <v>92</v>
      </c>
      <c r="D22" s="1" t="s">
        <v>5</v>
      </c>
      <c r="E22" s="2">
        <v>42229.457638888889</v>
      </c>
      <c r="F22" s="1" t="s">
        <v>6</v>
      </c>
      <c r="G22" s="1">
        <v>197823</v>
      </c>
      <c r="H22" s="1">
        <v>28</v>
      </c>
      <c r="I22" s="1" t="s">
        <v>93</v>
      </c>
      <c r="J22" s="1">
        <f>+Table2[[#This Row],[Ventas]]/Table2[[#This Row],[Cantidad]]</f>
        <v>7065.1071428571431</v>
      </c>
      <c r="K22" s="1" t="str">
        <f>+_xlfn.IFS(Table2[[#This Row],[Ventas]]&gt;200000,"Alta", Table2[[#This Row],[Ventas]]&gt;100000,"Media",TRUE,"Bajo")</f>
        <v>Media</v>
      </c>
    </row>
    <row r="23" spans="1:16" x14ac:dyDescent="0.25">
      <c r="A23" s="1" t="s">
        <v>98</v>
      </c>
      <c r="B23" s="1" t="s">
        <v>47</v>
      </c>
      <c r="C23" s="1" t="s">
        <v>87</v>
      </c>
      <c r="D23" s="1" t="s">
        <v>9</v>
      </c>
      <c r="E23" s="2">
        <v>42243.457638888889</v>
      </c>
      <c r="F23" s="1" t="s">
        <v>6</v>
      </c>
      <c r="G23" s="1">
        <v>164603</v>
      </c>
      <c r="H23" s="1">
        <v>35</v>
      </c>
      <c r="I23" s="1" t="s">
        <v>80</v>
      </c>
      <c r="J23" s="1">
        <f>+Table2[[#This Row],[Ventas]]/Table2[[#This Row],[Cantidad]]</f>
        <v>4702.9428571428571</v>
      </c>
      <c r="K23" s="1" t="str">
        <f>+_xlfn.IFS(Table2[[#This Row],[Ventas]]&gt;200000,"Alta", Table2[[#This Row],[Ventas]]&gt;100000,"Media",TRUE,"Bajo")</f>
        <v>Media</v>
      </c>
    </row>
    <row r="24" spans="1:16" x14ac:dyDescent="0.25">
      <c r="A24" s="1" t="s">
        <v>98</v>
      </c>
      <c r="B24" s="1" t="s">
        <v>50</v>
      </c>
      <c r="C24" s="1" t="s">
        <v>88</v>
      </c>
      <c r="D24" s="1" t="s">
        <v>9</v>
      </c>
      <c r="E24" s="2">
        <v>42244.457638888889</v>
      </c>
      <c r="F24" s="1" t="s">
        <v>6</v>
      </c>
      <c r="G24" s="1">
        <v>62393</v>
      </c>
      <c r="H24" s="1">
        <v>38</v>
      </c>
      <c r="I24" s="1" t="s">
        <v>80</v>
      </c>
      <c r="J24" s="1">
        <f>+Table2[[#This Row],[Ventas]]/Table2[[#This Row],[Cantidad]]</f>
        <v>1641.921052631579</v>
      </c>
      <c r="K24" s="1" t="str">
        <f>+_xlfn.IFS(Table2[[#This Row],[Ventas]]&gt;200000,"Alta", Table2[[#This Row],[Ventas]]&gt;100000,"Media",TRUE,"Bajo")</f>
        <v>Bajo</v>
      </c>
      <c r="M24" s="3" t="s">
        <v>78</v>
      </c>
      <c r="N24" s="3" t="s">
        <v>170</v>
      </c>
      <c r="O24" s="3" t="s">
        <v>171</v>
      </c>
      <c r="P24" s="3" t="s">
        <v>173</v>
      </c>
    </row>
    <row r="25" spans="1:16" x14ac:dyDescent="0.25">
      <c r="A25" s="1" t="s">
        <v>98</v>
      </c>
      <c r="B25" s="1" t="s">
        <v>143</v>
      </c>
      <c r="C25" s="1" t="s">
        <v>86</v>
      </c>
      <c r="D25" s="1" t="s">
        <v>5</v>
      </c>
      <c r="E25" s="2">
        <v>42230.457638888889</v>
      </c>
      <c r="F25" s="1" t="s">
        <v>6</v>
      </c>
      <c r="G25" s="1">
        <v>236606</v>
      </c>
      <c r="H25" s="1">
        <v>36</v>
      </c>
      <c r="I25" s="1" t="s">
        <v>93</v>
      </c>
      <c r="J25" s="1">
        <f>+Table2[[#This Row],[Ventas]]/Table2[[#This Row],[Cantidad]]</f>
        <v>6572.3888888888887</v>
      </c>
      <c r="K25" s="1" t="str">
        <f>+_xlfn.IFS(Table2[[#This Row],[Ventas]]&gt;200000,"Alta", Table2[[#This Row],[Ventas]]&gt;100000,"Media",TRUE,"Bajo")</f>
        <v>Alta</v>
      </c>
      <c r="M25" s="3" t="s">
        <v>79</v>
      </c>
      <c r="N25" s="3">
        <f>+COUNTIFS(I:I,"Accesorios")</f>
        <v>370</v>
      </c>
      <c r="O25" s="3">
        <f>+SUMIFS(G:G,I:I,"Accesorios")</f>
        <v>55047421</v>
      </c>
      <c r="P25" s="4">
        <f>+AVERAGEIFS(G:G,I:I,"Accesorios")</f>
        <v>148776.81351351351</v>
      </c>
    </row>
    <row r="26" spans="1:16" x14ac:dyDescent="0.25">
      <c r="A26" s="1" t="s">
        <v>98</v>
      </c>
      <c r="B26" s="1" t="s">
        <v>37</v>
      </c>
      <c r="C26" s="1" t="s">
        <v>92</v>
      </c>
      <c r="D26" s="1" t="s">
        <v>5</v>
      </c>
      <c r="E26" s="2">
        <v>42247.457638888889</v>
      </c>
      <c r="F26" s="1" t="s">
        <v>6</v>
      </c>
      <c r="G26" s="1">
        <v>141965</v>
      </c>
      <c r="H26" s="1">
        <v>24</v>
      </c>
      <c r="I26" s="1" t="s">
        <v>93</v>
      </c>
      <c r="J26" s="1">
        <f>+Table2[[#This Row],[Ventas]]/Table2[[#This Row],[Cantidad]]</f>
        <v>5915.208333333333</v>
      </c>
      <c r="K26" s="1" t="str">
        <f>+_xlfn.IFS(Table2[[#This Row],[Ventas]]&gt;200000,"Alta", Table2[[#This Row],[Ventas]]&gt;100000,"Media",TRUE,"Bajo")</f>
        <v>Media</v>
      </c>
      <c r="M26" s="3" t="s">
        <v>93</v>
      </c>
      <c r="N26" s="3">
        <f>+COUNTIFS(I:I,"Viajes")</f>
        <v>75</v>
      </c>
      <c r="O26" s="3">
        <f>+SUMIFS(G:G,I:I,"Viajes")</f>
        <v>12129272</v>
      </c>
      <c r="P26" s="4">
        <f>+AVERAGEIFS(G:G,I:I,"Viajes")</f>
        <v>161723.62666666668</v>
      </c>
    </row>
    <row r="27" spans="1:16" x14ac:dyDescent="0.25">
      <c r="A27" s="1" t="s">
        <v>98</v>
      </c>
      <c r="B27" s="1" t="s">
        <v>15</v>
      </c>
      <c r="C27" s="1" t="s">
        <v>92</v>
      </c>
      <c r="D27" s="1" t="s">
        <v>5</v>
      </c>
      <c r="E27" s="2">
        <v>42247.457638888889</v>
      </c>
      <c r="F27" s="1" t="s">
        <v>7</v>
      </c>
      <c r="G27" s="1">
        <v>79057</v>
      </c>
      <c r="H27" s="1">
        <v>32</v>
      </c>
      <c r="I27" s="1" t="s">
        <v>82</v>
      </c>
      <c r="J27" s="1">
        <f>+Table2[[#This Row],[Ventas]]/Table2[[#This Row],[Cantidad]]</f>
        <v>2470.53125</v>
      </c>
      <c r="K27" s="1" t="str">
        <f>+_xlfn.IFS(Table2[[#This Row],[Ventas]]&gt;200000,"Alta", Table2[[#This Row],[Ventas]]&gt;100000,"Media",TRUE,"Bajo")</f>
        <v>Bajo</v>
      </c>
      <c r="M27" s="3" t="s">
        <v>81</v>
      </c>
      <c r="N27" s="3">
        <f>+COUNTIFS(I:I,"Juguetes")</f>
        <v>244</v>
      </c>
      <c r="O27" s="3">
        <f>+SUMIFS(G:G,I:I,"Juguetes")</f>
        <v>37398809</v>
      </c>
      <c r="P27" s="4">
        <f>+AVERAGEIFS(G:G,I:I,"Juguetes")</f>
        <v>153273.80737704918</v>
      </c>
    </row>
    <row r="28" spans="1:16" x14ac:dyDescent="0.25">
      <c r="A28" s="1" t="s">
        <v>98</v>
      </c>
      <c r="B28" s="1" t="s">
        <v>141</v>
      </c>
      <c r="C28" s="1" t="s">
        <v>91</v>
      </c>
      <c r="D28" s="1" t="s">
        <v>9</v>
      </c>
      <c r="E28" s="2">
        <v>42236.457638888889</v>
      </c>
      <c r="F28" s="1" t="s">
        <v>6</v>
      </c>
      <c r="G28" s="1">
        <v>169756</v>
      </c>
      <c r="H28" s="1">
        <v>38</v>
      </c>
      <c r="I28" s="1" t="s">
        <v>81</v>
      </c>
      <c r="J28" s="1">
        <f>+Table2[[#This Row],[Ventas]]/Table2[[#This Row],[Cantidad]]</f>
        <v>4467.2631578947367</v>
      </c>
      <c r="K28" s="1" t="str">
        <f>+_xlfn.IFS(Table2[[#This Row],[Ventas]]&gt;200000,"Alta", Table2[[#This Row],[Ventas]]&gt;100000,"Media",TRUE,"Bajo")</f>
        <v>Media</v>
      </c>
      <c r="M28" s="3" t="s">
        <v>82</v>
      </c>
      <c r="N28" s="3">
        <f>+COUNTIFS(I:I,"Calzado")</f>
        <v>85</v>
      </c>
      <c r="O28" s="3">
        <f>+SUMIFS(G:G,I:I,"Calzado")</f>
        <v>11862587</v>
      </c>
      <c r="P28" s="4">
        <f>+AVERAGEIFS(G:G,I:I,"Calzado")</f>
        <v>139559.84705882354</v>
      </c>
    </row>
    <row r="29" spans="1:16" x14ac:dyDescent="0.25">
      <c r="A29" s="1" t="s">
        <v>98</v>
      </c>
      <c r="B29" s="1" t="s">
        <v>4</v>
      </c>
      <c r="C29" s="1" t="s">
        <v>84</v>
      </c>
      <c r="D29" s="1" t="s">
        <v>5</v>
      </c>
      <c r="E29" s="2">
        <v>42230.457638888889</v>
      </c>
      <c r="F29" s="1" t="s">
        <v>6</v>
      </c>
      <c r="G29" s="1">
        <v>136293</v>
      </c>
      <c r="H29" s="1">
        <v>27</v>
      </c>
      <c r="I29" s="1" t="s">
        <v>79</v>
      </c>
      <c r="J29" s="1">
        <f>+Table2[[#This Row],[Ventas]]/Table2[[#This Row],[Cantidad]]</f>
        <v>5047.8888888888887</v>
      </c>
      <c r="K29" s="1" t="str">
        <f>+_xlfn.IFS(Table2[[#This Row],[Ventas]]&gt;200000,"Alta", Table2[[#This Row],[Ventas]]&gt;100000,"Media",TRUE,"Bajo")</f>
        <v>Media</v>
      </c>
      <c r="M29" s="3" t="s">
        <v>169</v>
      </c>
      <c r="N29" s="3">
        <f>+COUNTIFS(I:I,"Electrodomésticos")</f>
        <v>200</v>
      </c>
      <c r="O29" s="3">
        <f>+SUMIFS(G:G,I:I,"Electrodomésticos")</f>
        <v>30126889</v>
      </c>
      <c r="P29" s="4">
        <f>+AVERAGEIFS(G:G,I:I,"Electrodomésticos")</f>
        <v>150634.44500000001</v>
      </c>
    </row>
    <row r="30" spans="1:16" x14ac:dyDescent="0.25">
      <c r="A30" s="1" t="s">
        <v>98</v>
      </c>
      <c r="B30" s="1" t="s">
        <v>50</v>
      </c>
      <c r="C30" s="1" t="s">
        <v>88</v>
      </c>
      <c r="D30" s="1" t="s">
        <v>9</v>
      </c>
      <c r="E30" s="2">
        <v>42244.457638888889</v>
      </c>
      <c r="F30" s="1" t="s">
        <v>6</v>
      </c>
      <c r="G30" s="1">
        <v>161296</v>
      </c>
      <c r="H30" s="1">
        <v>23</v>
      </c>
      <c r="I30" s="1" t="s">
        <v>80</v>
      </c>
      <c r="J30" s="1">
        <f>+Table2[[#This Row],[Ventas]]/Table2[[#This Row],[Cantidad]]</f>
        <v>7012.869565217391</v>
      </c>
      <c r="K30" s="1" t="str">
        <f>+_xlfn.IFS(Table2[[#This Row],[Ventas]]&gt;200000,"Alta", Table2[[#This Row],[Ventas]]&gt;100000,"Media",TRUE,"Bajo")</f>
        <v>Media</v>
      </c>
    </row>
    <row r="31" spans="1:16" x14ac:dyDescent="0.25">
      <c r="A31" s="1" t="s">
        <v>98</v>
      </c>
      <c r="B31" s="1" t="s">
        <v>130</v>
      </c>
      <c r="C31" s="1" t="s">
        <v>92</v>
      </c>
      <c r="D31" s="1" t="s">
        <v>5</v>
      </c>
      <c r="E31" s="2">
        <v>42247.457638888889</v>
      </c>
      <c r="F31" s="1" t="s">
        <v>7</v>
      </c>
      <c r="G31" s="1">
        <v>137877</v>
      </c>
      <c r="H31" s="1">
        <v>22</v>
      </c>
      <c r="I31" s="1" t="s">
        <v>81</v>
      </c>
      <c r="J31" s="1">
        <f>+Table2[[#This Row],[Ventas]]/Table2[[#This Row],[Cantidad]]</f>
        <v>6267.136363636364</v>
      </c>
      <c r="K31" s="1" t="str">
        <f>+_xlfn.IFS(Table2[[#This Row],[Ventas]]&gt;200000,"Alta", Table2[[#This Row],[Ventas]]&gt;100000,"Media",TRUE,"Bajo")</f>
        <v>Media</v>
      </c>
    </row>
    <row r="32" spans="1:16" x14ac:dyDescent="0.25">
      <c r="A32" s="1" t="s">
        <v>98</v>
      </c>
      <c r="B32" s="1" t="s">
        <v>4</v>
      </c>
      <c r="C32" s="1" t="s">
        <v>84</v>
      </c>
      <c r="D32" s="1" t="s">
        <v>5</v>
      </c>
      <c r="E32" s="2">
        <v>42230.457638888889</v>
      </c>
      <c r="F32" s="1" t="s">
        <v>6</v>
      </c>
      <c r="G32" s="1">
        <v>71518</v>
      </c>
      <c r="H32" s="1">
        <v>39</v>
      </c>
      <c r="I32" s="1" t="s">
        <v>80</v>
      </c>
      <c r="J32" s="1">
        <f>+Table2[[#This Row],[Ventas]]/Table2[[#This Row],[Cantidad]]</f>
        <v>1833.7948717948718</v>
      </c>
      <c r="K32" s="1" t="str">
        <f>+_xlfn.IFS(Table2[[#This Row],[Ventas]]&gt;200000,"Alta", Table2[[#This Row],[Ventas]]&gt;100000,"Media",TRUE,"Bajo")</f>
        <v>Bajo</v>
      </c>
    </row>
    <row r="33" spans="1:11" x14ac:dyDescent="0.25">
      <c r="A33" s="1" t="s">
        <v>98</v>
      </c>
      <c r="B33" s="1" t="s">
        <v>4</v>
      </c>
      <c r="C33" s="1" t="s">
        <v>84</v>
      </c>
      <c r="D33" s="1" t="s">
        <v>5</v>
      </c>
      <c r="E33" s="2">
        <v>42230.457638888889</v>
      </c>
      <c r="F33" s="1" t="s">
        <v>6</v>
      </c>
      <c r="G33" s="1">
        <v>106536</v>
      </c>
      <c r="H33" s="1">
        <v>15</v>
      </c>
      <c r="I33" s="1" t="s">
        <v>80</v>
      </c>
      <c r="J33" s="1">
        <f>+Table2[[#This Row],[Ventas]]/Table2[[#This Row],[Cantidad]]</f>
        <v>7102.4</v>
      </c>
      <c r="K33" s="1" t="str">
        <f>+_xlfn.IFS(Table2[[#This Row],[Ventas]]&gt;200000,"Alta", Table2[[#This Row],[Ventas]]&gt;100000,"Media",TRUE,"Bajo")</f>
        <v>Media</v>
      </c>
    </row>
    <row r="34" spans="1:11" x14ac:dyDescent="0.25">
      <c r="A34" s="1" t="s">
        <v>98</v>
      </c>
      <c r="B34" s="1" t="s">
        <v>56</v>
      </c>
      <c r="C34" s="1" t="s">
        <v>88</v>
      </c>
      <c r="D34" s="1" t="s">
        <v>9</v>
      </c>
      <c r="E34" s="2">
        <v>42247.457638888889</v>
      </c>
      <c r="F34" s="1" t="s">
        <v>6</v>
      </c>
      <c r="G34" s="1">
        <v>120304</v>
      </c>
      <c r="H34" s="1">
        <v>29</v>
      </c>
      <c r="I34" s="1" t="s">
        <v>79</v>
      </c>
      <c r="J34" s="1">
        <f>+Table2[[#This Row],[Ventas]]/Table2[[#This Row],[Cantidad]]</f>
        <v>4148.4137931034484</v>
      </c>
      <c r="K34" s="1" t="str">
        <f>+_xlfn.IFS(Table2[[#This Row],[Ventas]]&gt;200000,"Alta", Table2[[#This Row],[Ventas]]&gt;100000,"Media",TRUE,"Bajo")</f>
        <v>Media</v>
      </c>
    </row>
    <row r="35" spans="1:11" x14ac:dyDescent="0.25">
      <c r="A35" s="1" t="s">
        <v>98</v>
      </c>
      <c r="B35" s="1" t="s">
        <v>4</v>
      </c>
      <c r="C35" s="1" t="s">
        <v>84</v>
      </c>
      <c r="D35" s="1" t="s">
        <v>5</v>
      </c>
      <c r="E35" s="2">
        <v>42230.457638888889</v>
      </c>
      <c r="F35" s="1" t="s">
        <v>6</v>
      </c>
      <c r="G35" s="1">
        <v>105978</v>
      </c>
      <c r="H35" s="1">
        <v>22</v>
      </c>
      <c r="I35" s="1" t="s">
        <v>80</v>
      </c>
      <c r="J35" s="1">
        <f>+Table2[[#This Row],[Ventas]]/Table2[[#This Row],[Cantidad]]</f>
        <v>4817.181818181818</v>
      </c>
      <c r="K35" s="1" t="str">
        <f>+_xlfn.IFS(Table2[[#This Row],[Ventas]]&gt;200000,"Alta", Table2[[#This Row],[Ventas]]&gt;100000,"Media",TRUE,"Bajo")</f>
        <v>Media</v>
      </c>
    </row>
    <row r="36" spans="1:11" x14ac:dyDescent="0.25">
      <c r="A36" s="1" t="s">
        <v>98</v>
      </c>
      <c r="B36" s="1" t="s">
        <v>4</v>
      </c>
      <c r="C36" s="1" t="s">
        <v>86</v>
      </c>
      <c r="D36" s="1" t="s">
        <v>5</v>
      </c>
      <c r="E36" s="2">
        <v>42230.457638888889</v>
      </c>
      <c r="F36" s="1" t="s">
        <v>6</v>
      </c>
      <c r="G36" s="1">
        <v>216366</v>
      </c>
      <c r="H36" s="1">
        <v>29</v>
      </c>
      <c r="I36" s="1" t="s">
        <v>80</v>
      </c>
      <c r="J36" s="1">
        <f>+Table2[[#This Row],[Ventas]]/Table2[[#This Row],[Cantidad]]</f>
        <v>7460.8965517241377</v>
      </c>
      <c r="K36" s="1" t="str">
        <f>+_xlfn.IFS(Table2[[#This Row],[Ventas]]&gt;200000,"Alta", Table2[[#This Row],[Ventas]]&gt;100000,"Media",TRUE,"Bajo")</f>
        <v>Alta</v>
      </c>
    </row>
    <row r="37" spans="1:11" x14ac:dyDescent="0.25">
      <c r="A37" s="1" t="s">
        <v>98</v>
      </c>
      <c r="B37" s="1" t="s">
        <v>148</v>
      </c>
      <c r="C37" s="1" t="s">
        <v>91</v>
      </c>
      <c r="D37" s="1" t="s">
        <v>9</v>
      </c>
      <c r="E37" s="2">
        <v>42244.457638888889</v>
      </c>
      <c r="F37" s="1" t="s">
        <v>7</v>
      </c>
      <c r="G37" s="1">
        <v>124995</v>
      </c>
      <c r="H37" s="1">
        <v>32</v>
      </c>
      <c r="I37" s="1" t="s">
        <v>93</v>
      </c>
      <c r="J37" s="1">
        <f>+Table2[[#This Row],[Ventas]]/Table2[[#This Row],[Cantidad]]</f>
        <v>3906.09375</v>
      </c>
      <c r="K37" s="1" t="str">
        <f>+_xlfn.IFS(Table2[[#This Row],[Ventas]]&gt;200000,"Alta", Table2[[#This Row],[Ventas]]&gt;100000,"Media",TRUE,"Bajo")</f>
        <v>Media</v>
      </c>
    </row>
    <row r="38" spans="1:11" x14ac:dyDescent="0.25">
      <c r="A38" s="1" t="s">
        <v>98</v>
      </c>
      <c r="B38" s="1" t="s">
        <v>4</v>
      </c>
      <c r="C38" s="1" t="s">
        <v>84</v>
      </c>
      <c r="D38" s="1" t="s">
        <v>5</v>
      </c>
      <c r="E38" s="2">
        <v>42230.457638888889</v>
      </c>
      <c r="F38" s="1" t="s">
        <v>6</v>
      </c>
      <c r="G38" s="1">
        <v>217511</v>
      </c>
      <c r="H38" s="1">
        <v>28</v>
      </c>
      <c r="I38" s="1" t="s">
        <v>79</v>
      </c>
      <c r="J38" s="1">
        <f>+Table2[[#This Row],[Ventas]]/Table2[[#This Row],[Cantidad]]</f>
        <v>7768.25</v>
      </c>
      <c r="K38" s="1" t="str">
        <f>+_xlfn.IFS(Table2[[#This Row],[Ventas]]&gt;200000,"Alta", Table2[[#This Row],[Ventas]]&gt;100000,"Media",TRUE,"Bajo")</f>
        <v>Alta</v>
      </c>
    </row>
    <row r="39" spans="1:11" x14ac:dyDescent="0.25">
      <c r="A39" s="1" t="s">
        <v>99</v>
      </c>
      <c r="B39" s="1" t="s">
        <v>39</v>
      </c>
      <c r="C39" s="1" t="s">
        <v>92</v>
      </c>
      <c r="D39" s="1" t="s">
        <v>5</v>
      </c>
      <c r="E39" s="2">
        <v>42247.457638888889</v>
      </c>
      <c r="F39" s="1" t="s">
        <v>7</v>
      </c>
      <c r="G39" s="1">
        <v>96052</v>
      </c>
      <c r="H39" s="1">
        <v>42</v>
      </c>
      <c r="I39" s="1" t="s">
        <v>81</v>
      </c>
      <c r="J39" s="1">
        <f>+Table2[[#This Row],[Ventas]]/Table2[[#This Row],[Cantidad]]</f>
        <v>2286.9523809523807</v>
      </c>
      <c r="K39" s="1" t="str">
        <f>+_xlfn.IFS(Table2[[#This Row],[Ventas]]&gt;200000,"Alta", Table2[[#This Row],[Ventas]]&gt;100000,"Media",TRUE,"Bajo")</f>
        <v>Bajo</v>
      </c>
    </row>
    <row r="40" spans="1:11" x14ac:dyDescent="0.25">
      <c r="A40" s="1" t="s">
        <v>99</v>
      </c>
      <c r="B40" s="1" t="s">
        <v>61</v>
      </c>
      <c r="C40" s="1" t="s">
        <v>88</v>
      </c>
      <c r="D40" s="1" t="s">
        <v>9</v>
      </c>
      <c r="E40" s="2">
        <v>42236.457638888889</v>
      </c>
      <c r="F40" s="1" t="s">
        <v>7</v>
      </c>
      <c r="G40" s="1">
        <v>190081</v>
      </c>
      <c r="H40" s="1">
        <v>21</v>
      </c>
      <c r="I40" s="1" t="s">
        <v>80</v>
      </c>
      <c r="J40" s="1">
        <f>+Table2[[#This Row],[Ventas]]/Table2[[#This Row],[Cantidad]]</f>
        <v>9051.4761904761908</v>
      </c>
      <c r="K40" s="1" t="str">
        <f>+_xlfn.IFS(Table2[[#This Row],[Ventas]]&gt;200000,"Alta", Table2[[#This Row],[Ventas]]&gt;100000,"Media",TRUE,"Bajo")</f>
        <v>Media</v>
      </c>
    </row>
    <row r="41" spans="1:11" x14ac:dyDescent="0.25">
      <c r="A41" s="1" t="s">
        <v>99</v>
      </c>
      <c r="B41" s="1" t="s">
        <v>4</v>
      </c>
      <c r="C41" s="1" t="s">
        <v>86</v>
      </c>
      <c r="D41" s="1" t="s">
        <v>5</v>
      </c>
      <c r="E41" s="2">
        <v>42230.457638888889</v>
      </c>
      <c r="F41" s="1" t="s">
        <v>6</v>
      </c>
      <c r="G41" s="1">
        <v>116835</v>
      </c>
      <c r="H41" s="1">
        <v>32</v>
      </c>
      <c r="I41" s="1" t="s">
        <v>81</v>
      </c>
      <c r="J41" s="1">
        <f>+Table2[[#This Row],[Ventas]]/Table2[[#This Row],[Cantidad]]</f>
        <v>3651.09375</v>
      </c>
      <c r="K41" s="1" t="str">
        <f>+_xlfn.IFS(Table2[[#This Row],[Ventas]]&gt;200000,"Alta", Table2[[#This Row],[Ventas]]&gt;100000,"Media",TRUE,"Bajo")</f>
        <v>Media</v>
      </c>
    </row>
    <row r="42" spans="1:11" x14ac:dyDescent="0.25">
      <c r="A42" s="1" t="s">
        <v>99</v>
      </c>
      <c r="B42" s="1" t="s">
        <v>130</v>
      </c>
      <c r="C42" s="1" t="s">
        <v>92</v>
      </c>
      <c r="D42" s="1" t="s">
        <v>5</v>
      </c>
      <c r="E42" s="2">
        <v>42247.457638888889</v>
      </c>
      <c r="F42" s="1" t="s">
        <v>7</v>
      </c>
      <c r="G42" s="1">
        <v>102237</v>
      </c>
      <c r="H42" s="1">
        <v>21</v>
      </c>
      <c r="I42" s="1" t="s">
        <v>79</v>
      </c>
      <c r="J42" s="1">
        <f>+Table2[[#This Row],[Ventas]]/Table2[[#This Row],[Cantidad]]</f>
        <v>4868.4285714285716</v>
      </c>
      <c r="K42" s="1" t="str">
        <f>+_xlfn.IFS(Table2[[#This Row],[Ventas]]&gt;200000,"Alta", Table2[[#This Row],[Ventas]]&gt;100000,"Media",TRUE,"Bajo")</f>
        <v>Media</v>
      </c>
    </row>
    <row r="43" spans="1:11" x14ac:dyDescent="0.25">
      <c r="A43" s="1" t="s">
        <v>99</v>
      </c>
      <c r="B43" s="1" t="s">
        <v>130</v>
      </c>
      <c r="C43" s="1" t="s">
        <v>92</v>
      </c>
      <c r="D43" s="1" t="s">
        <v>5</v>
      </c>
      <c r="E43" s="2">
        <v>42247.457638888889</v>
      </c>
      <c r="F43" s="1" t="s">
        <v>7</v>
      </c>
      <c r="G43" s="1">
        <v>143392</v>
      </c>
      <c r="H43" s="1">
        <v>39</v>
      </c>
      <c r="I43" s="1" t="s">
        <v>81</v>
      </c>
      <c r="J43" s="1">
        <f>+Table2[[#This Row],[Ventas]]/Table2[[#This Row],[Cantidad]]</f>
        <v>3676.7179487179487</v>
      </c>
      <c r="K43" s="1" t="str">
        <f>+_xlfn.IFS(Table2[[#This Row],[Ventas]]&gt;200000,"Alta", Table2[[#This Row],[Ventas]]&gt;100000,"Media",TRUE,"Bajo")</f>
        <v>Media</v>
      </c>
    </row>
    <row r="44" spans="1:11" x14ac:dyDescent="0.25">
      <c r="A44" s="1" t="s">
        <v>99</v>
      </c>
      <c r="B44" s="1" t="s">
        <v>4</v>
      </c>
      <c r="C44" s="1" t="s">
        <v>92</v>
      </c>
      <c r="D44" s="1" t="s">
        <v>5</v>
      </c>
      <c r="E44" s="2">
        <v>42230.457638888889</v>
      </c>
      <c r="F44" s="1" t="s">
        <v>6</v>
      </c>
      <c r="G44" s="1">
        <v>126641</v>
      </c>
      <c r="H44" s="1">
        <v>19</v>
      </c>
      <c r="I44" s="1" t="s">
        <v>79</v>
      </c>
      <c r="J44" s="1">
        <f>+Table2[[#This Row],[Ventas]]/Table2[[#This Row],[Cantidad]]</f>
        <v>6665.3157894736842</v>
      </c>
      <c r="K44" s="1" t="str">
        <f>+_xlfn.IFS(Table2[[#This Row],[Ventas]]&gt;200000,"Alta", Table2[[#This Row],[Ventas]]&gt;100000,"Media",TRUE,"Bajo")</f>
        <v>Media</v>
      </c>
    </row>
    <row r="45" spans="1:11" x14ac:dyDescent="0.25">
      <c r="A45" s="1" t="s">
        <v>99</v>
      </c>
      <c r="B45" s="1" t="s">
        <v>4</v>
      </c>
      <c r="C45" s="1" t="s">
        <v>84</v>
      </c>
      <c r="D45" s="1" t="s">
        <v>5</v>
      </c>
      <c r="E45" s="2">
        <v>42230.457638888889</v>
      </c>
      <c r="F45" s="1" t="s">
        <v>6</v>
      </c>
      <c r="G45" s="1">
        <v>195820</v>
      </c>
      <c r="H45" s="1">
        <v>34</v>
      </c>
      <c r="I45" s="1" t="s">
        <v>81</v>
      </c>
      <c r="J45" s="1">
        <f>+Table2[[#This Row],[Ventas]]/Table2[[#This Row],[Cantidad]]</f>
        <v>5759.411764705882</v>
      </c>
      <c r="K45" s="1" t="str">
        <f>+_xlfn.IFS(Table2[[#This Row],[Ventas]]&gt;200000,"Alta", Table2[[#This Row],[Ventas]]&gt;100000,"Media",TRUE,"Bajo")</f>
        <v>Media</v>
      </c>
    </row>
    <row r="46" spans="1:11" x14ac:dyDescent="0.25">
      <c r="A46" s="1" t="s">
        <v>99</v>
      </c>
      <c r="B46" s="1" t="s">
        <v>4</v>
      </c>
      <c r="C46" s="1" t="s">
        <v>86</v>
      </c>
      <c r="D46" s="1" t="s">
        <v>5</v>
      </c>
      <c r="E46" s="2">
        <v>42230.457638888889</v>
      </c>
      <c r="F46" s="1" t="s">
        <v>6</v>
      </c>
      <c r="G46" s="1">
        <v>110491</v>
      </c>
      <c r="H46" s="1">
        <v>31</v>
      </c>
      <c r="I46" s="1" t="s">
        <v>79</v>
      </c>
      <c r="J46" s="1">
        <f>+Table2[[#This Row],[Ventas]]/Table2[[#This Row],[Cantidad]]</f>
        <v>3564.2258064516127</v>
      </c>
      <c r="K46" s="1" t="str">
        <f>+_xlfn.IFS(Table2[[#This Row],[Ventas]]&gt;200000,"Alta", Table2[[#This Row],[Ventas]]&gt;100000,"Media",TRUE,"Bajo")</f>
        <v>Media</v>
      </c>
    </row>
    <row r="47" spans="1:11" x14ac:dyDescent="0.25">
      <c r="A47" s="1" t="s">
        <v>99</v>
      </c>
      <c r="B47" s="1" t="s">
        <v>17</v>
      </c>
      <c r="C47" s="1" t="s">
        <v>89</v>
      </c>
      <c r="D47" s="1" t="s">
        <v>9</v>
      </c>
      <c r="E47" s="2">
        <v>42235.457638888889</v>
      </c>
      <c r="F47" s="1" t="s">
        <v>10</v>
      </c>
      <c r="G47" s="1">
        <v>68830</v>
      </c>
      <c r="H47" s="1">
        <v>22</v>
      </c>
      <c r="I47" s="1" t="s">
        <v>79</v>
      </c>
      <c r="J47" s="1">
        <f>+Table2[[#This Row],[Ventas]]/Table2[[#This Row],[Cantidad]]</f>
        <v>3128.6363636363635</v>
      </c>
      <c r="K47" s="1" t="str">
        <f>+_xlfn.IFS(Table2[[#This Row],[Ventas]]&gt;200000,"Alta", Table2[[#This Row],[Ventas]]&gt;100000,"Media",TRUE,"Bajo")</f>
        <v>Bajo</v>
      </c>
    </row>
    <row r="48" spans="1:11" x14ac:dyDescent="0.25">
      <c r="A48" s="1" t="s">
        <v>99</v>
      </c>
      <c r="B48" s="1" t="s">
        <v>39</v>
      </c>
      <c r="C48" s="1" t="s">
        <v>92</v>
      </c>
      <c r="D48" s="1" t="s">
        <v>5</v>
      </c>
      <c r="E48" s="2">
        <v>42247.457638888889</v>
      </c>
      <c r="F48" s="1" t="s">
        <v>7</v>
      </c>
      <c r="G48" s="1">
        <v>149151</v>
      </c>
      <c r="H48" s="1">
        <v>16</v>
      </c>
      <c r="I48" s="1" t="s">
        <v>79</v>
      </c>
      <c r="J48" s="1">
        <f>+Table2[[#This Row],[Ventas]]/Table2[[#This Row],[Cantidad]]</f>
        <v>9321.9375</v>
      </c>
      <c r="K48" s="1" t="str">
        <f>+_xlfn.IFS(Table2[[#This Row],[Ventas]]&gt;200000,"Alta", Table2[[#This Row],[Ventas]]&gt;100000,"Media",TRUE,"Bajo")</f>
        <v>Media</v>
      </c>
    </row>
    <row r="49" spans="1:11" x14ac:dyDescent="0.25">
      <c r="A49" s="1" t="s">
        <v>99</v>
      </c>
      <c r="B49" s="1" t="s">
        <v>124</v>
      </c>
      <c r="C49" s="1" t="s">
        <v>92</v>
      </c>
      <c r="D49" s="1" t="s">
        <v>5</v>
      </c>
      <c r="E49" s="2">
        <v>42240.457638888889</v>
      </c>
      <c r="F49" s="1" t="s">
        <v>6</v>
      </c>
      <c r="G49" s="1">
        <v>108513</v>
      </c>
      <c r="H49" s="1">
        <v>24</v>
      </c>
      <c r="I49" s="1" t="s">
        <v>93</v>
      </c>
      <c r="J49" s="1">
        <f>+Table2[[#This Row],[Ventas]]/Table2[[#This Row],[Cantidad]]</f>
        <v>4521.375</v>
      </c>
      <c r="K49" s="1" t="str">
        <f>+_xlfn.IFS(Table2[[#This Row],[Ventas]]&gt;200000,"Alta", Table2[[#This Row],[Ventas]]&gt;100000,"Media",TRUE,"Bajo")</f>
        <v>Media</v>
      </c>
    </row>
    <row r="50" spans="1:11" x14ac:dyDescent="0.25">
      <c r="A50" s="1" t="s">
        <v>99</v>
      </c>
      <c r="B50" s="1" t="s">
        <v>4</v>
      </c>
      <c r="C50" s="1" t="s">
        <v>84</v>
      </c>
      <c r="D50" s="1" t="s">
        <v>5</v>
      </c>
      <c r="E50" s="2">
        <v>42230.457638888889</v>
      </c>
      <c r="F50" s="1" t="s">
        <v>6</v>
      </c>
      <c r="G50" s="1">
        <v>181185</v>
      </c>
      <c r="H50" s="1">
        <v>18</v>
      </c>
      <c r="I50" s="1" t="s">
        <v>81</v>
      </c>
      <c r="J50" s="1">
        <f>+Table2[[#This Row],[Ventas]]/Table2[[#This Row],[Cantidad]]</f>
        <v>10065.833333333334</v>
      </c>
      <c r="K50" s="1" t="str">
        <f>+_xlfn.IFS(Table2[[#This Row],[Ventas]]&gt;200000,"Alta", Table2[[#This Row],[Ventas]]&gt;100000,"Media",TRUE,"Bajo")</f>
        <v>Media</v>
      </c>
    </row>
    <row r="51" spans="1:11" x14ac:dyDescent="0.25">
      <c r="A51" s="1" t="s">
        <v>99</v>
      </c>
      <c r="B51" s="1" t="s">
        <v>130</v>
      </c>
      <c r="C51" s="1" t="s">
        <v>92</v>
      </c>
      <c r="D51" s="1" t="s">
        <v>5</v>
      </c>
      <c r="E51" s="2">
        <v>42247.457638888889</v>
      </c>
      <c r="F51" s="1" t="s">
        <v>7</v>
      </c>
      <c r="G51" s="1">
        <v>51754</v>
      </c>
      <c r="H51" s="1">
        <v>20</v>
      </c>
      <c r="I51" s="1" t="s">
        <v>79</v>
      </c>
      <c r="J51" s="1">
        <f>+Table2[[#This Row],[Ventas]]/Table2[[#This Row],[Cantidad]]</f>
        <v>2587.6999999999998</v>
      </c>
      <c r="K51" s="1" t="str">
        <f>+_xlfn.IFS(Table2[[#This Row],[Ventas]]&gt;200000,"Alta", Table2[[#This Row],[Ventas]]&gt;100000,"Media",TRUE,"Bajo")</f>
        <v>Bajo</v>
      </c>
    </row>
    <row r="52" spans="1:11" x14ac:dyDescent="0.25">
      <c r="A52" s="1" t="s">
        <v>99</v>
      </c>
      <c r="B52" s="1" t="s">
        <v>111</v>
      </c>
      <c r="C52" s="1" t="s">
        <v>87</v>
      </c>
      <c r="D52" s="1" t="s">
        <v>9</v>
      </c>
      <c r="E52" s="2">
        <v>42235.457638888889</v>
      </c>
      <c r="F52" s="1" t="s">
        <v>6</v>
      </c>
      <c r="G52" s="1">
        <v>111529</v>
      </c>
      <c r="H52" s="1">
        <v>29</v>
      </c>
      <c r="I52" s="1" t="s">
        <v>80</v>
      </c>
      <c r="J52" s="1">
        <f>+Table2[[#This Row],[Ventas]]/Table2[[#This Row],[Cantidad]]</f>
        <v>3845.8275862068967</v>
      </c>
      <c r="K52" s="1" t="str">
        <f>+_xlfn.IFS(Table2[[#This Row],[Ventas]]&gt;200000,"Alta", Table2[[#This Row],[Ventas]]&gt;100000,"Media",TRUE,"Bajo")</f>
        <v>Media</v>
      </c>
    </row>
    <row r="53" spans="1:11" x14ac:dyDescent="0.25">
      <c r="A53" s="1" t="s">
        <v>99</v>
      </c>
      <c r="B53" s="1" t="s">
        <v>49</v>
      </c>
      <c r="C53" s="1" t="s">
        <v>87</v>
      </c>
      <c r="D53" s="1" t="s">
        <v>9</v>
      </c>
      <c r="E53" s="2">
        <v>42240.457638888889</v>
      </c>
      <c r="F53" s="1" t="s">
        <v>6</v>
      </c>
      <c r="G53" s="1">
        <v>194179</v>
      </c>
      <c r="H53" s="1">
        <v>32</v>
      </c>
      <c r="I53" s="1" t="s">
        <v>79</v>
      </c>
      <c r="J53" s="1">
        <f>+Table2[[#This Row],[Ventas]]/Table2[[#This Row],[Cantidad]]</f>
        <v>6068.09375</v>
      </c>
      <c r="K53" s="1" t="str">
        <f>+_xlfn.IFS(Table2[[#This Row],[Ventas]]&gt;200000,"Alta", Table2[[#This Row],[Ventas]]&gt;100000,"Media",TRUE,"Bajo")</f>
        <v>Media</v>
      </c>
    </row>
    <row r="54" spans="1:11" x14ac:dyDescent="0.25">
      <c r="A54" s="1" t="s">
        <v>99</v>
      </c>
      <c r="B54" s="1" t="s">
        <v>4</v>
      </c>
      <c r="C54" s="1" t="s">
        <v>86</v>
      </c>
      <c r="D54" s="1" t="s">
        <v>5</v>
      </c>
      <c r="E54" s="2">
        <v>42230.457638888889</v>
      </c>
      <c r="F54" s="1" t="s">
        <v>6</v>
      </c>
      <c r="G54" s="1">
        <v>164188</v>
      </c>
      <c r="H54" s="1">
        <v>42</v>
      </c>
      <c r="I54" s="1" t="s">
        <v>80</v>
      </c>
      <c r="J54" s="1">
        <f>+Table2[[#This Row],[Ventas]]/Table2[[#This Row],[Cantidad]]</f>
        <v>3909.2380952380954</v>
      </c>
      <c r="K54" s="1" t="str">
        <f>+_xlfn.IFS(Table2[[#This Row],[Ventas]]&gt;200000,"Alta", Table2[[#This Row],[Ventas]]&gt;100000,"Media",TRUE,"Bajo")</f>
        <v>Media</v>
      </c>
    </row>
    <row r="55" spans="1:11" x14ac:dyDescent="0.25">
      <c r="A55" s="1" t="s">
        <v>99</v>
      </c>
      <c r="B55" s="1" t="s">
        <v>130</v>
      </c>
      <c r="C55" s="1" t="s">
        <v>86</v>
      </c>
      <c r="D55" s="1" t="s">
        <v>5</v>
      </c>
      <c r="E55" s="2">
        <v>42242.457638888889</v>
      </c>
      <c r="F55" s="1" t="s">
        <v>7</v>
      </c>
      <c r="G55" s="1">
        <v>121544</v>
      </c>
      <c r="H55" s="1">
        <v>16</v>
      </c>
      <c r="I55" s="1" t="s">
        <v>81</v>
      </c>
      <c r="J55" s="1">
        <f>+Table2[[#This Row],[Ventas]]/Table2[[#This Row],[Cantidad]]</f>
        <v>7596.5</v>
      </c>
      <c r="K55" s="1" t="str">
        <f>+_xlfn.IFS(Table2[[#This Row],[Ventas]]&gt;200000,"Alta", Table2[[#This Row],[Ventas]]&gt;100000,"Media",TRUE,"Bajo")</f>
        <v>Media</v>
      </c>
    </row>
    <row r="56" spans="1:11" x14ac:dyDescent="0.25">
      <c r="A56" s="1" t="s">
        <v>99</v>
      </c>
      <c r="B56" s="1" t="s">
        <v>130</v>
      </c>
      <c r="C56" s="1" t="s">
        <v>92</v>
      </c>
      <c r="D56" s="1" t="s">
        <v>5</v>
      </c>
      <c r="E56" s="2">
        <v>42247.457638888889</v>
      </c>
      <c r="F56" s="1" t="s">
        <v>7</v>
      </c>
      <c r="G56" s="1">
        <v>132595</v>
      </c>
      <c r="H56" s="1">
        <v>16</v>
      </c>
      <c r="I56" s="1" t="s">
        <v>79</v>
      </c>
      <c r="J56" s="1">
        <f>+Table2[[#This Row],[Ventas]]/Table2[[#This Row],[Cantidad]]</f>
        <v>8287.1875</v>
      </c>
      <c r="K56" s="1" t="str">
        <f>+_xlfn.IFS(Table2[[#This Row],[Ventas]]&gt;200000,"Alta", Table2[[#This Row],[Ventas]]&gt;100000,"Media",TRUE,"Bajo")</f>
        <v>Media</v>
      </c>
    </row>
    <row r="57" spans="1:11" x14ac:dyDescent="0.25">
      <c r="A57" s="1" t="s">
        <v>99</v>
      </c>
      <c r="B57" s="1" t="s">
        <v>48</v>
      </c>
      <c r="C57" s="1" t="s">
        <v>87</v>
      </c>
      <c r="D57" s="1" t="s">
        <v>9</v>
      </c>
      <c r="E57" s="2">
        <v>42236.457638888889</v>
      </c>
      <c r="F57" s="1" t="s">
        <v>6</v>
      </c>
      <c r="G57" s="1">
        <v>170365</v>
      </c>
      <c r="H57" s="1">
        <v>17</v>
      </c>
      <c r="I57" s="1" t="s">
        <v>80</v>
      </c>
      <c r="J57" s="1">
        <f>+Table2[[#This Row],[Ventas]]/Table2[[#This Row],[Cantidad]]</f>
        <v>10021.470588235294</v>
      </c>
      <c r="K57" s="1" t="str">
        <f>+_xlfn.IFS(Table2[[#This Row],[Ventas]]&gt;200000,"Alta", Table2[[#This Row],[Ventas]]&gt;100000,"Media",TRUE,"Bajo")</f>
        <v>Media</v>
      </c>
    </row>
    <row r="58" spans="1:11" x14ac:dyDescent="0.25">
      <c r="A58" s="1" t="s">
        <v>99</v>
      </c>
      <c r="B58" s="1" t="s">
        <v>125</v>
      </c>
      <c r="C58" s="1" t="s">
        <v>87</v>
      </c>
      <c r="D58" s="1" t="s">
        <v>9</v>
      </c>
      <c r="E58" s="2">
        <v>42229.457638888889</v>
      </c>
      <c r="F58" s="1" t="s">
        <v>7</v>
      </c>
      <c r="G58" s="1">
        <v>113234</v>
      </c>
      <c r="H58" s="1">
        <v>25</v>
      </c>
      <c r="I58" s="1" t="s">
        <v>80</v>
      </c>
      <c r="J58" s="1">
        <f>+Table2[[#This Row],[Ventas]]/Table2[[#This Row],[Cantidad]]</f>
        <v>4529.3599999999997</v>
      </c>
      <c r="K58" s="1" t="str">
        <f>+_xlfn.IFS(Table2[[#This Row],[Ventas]]&gt;200000,"Alta", Table2[[#This Row],[Ventas]]&gt;100000,"Media",TRUE,"Bajo")</f>
        <v>Media</v>
      </c>
    </row>
    <row r="59" spans="1:11" x14ac:dyDescent="0.25">
      <c r="A59" s="1" t="s">
        <v>99</v>
      </c>
      <c r="B59" s="1" t="s">
        <v>4</v>
      </c>
      <c r="C59" s="1" t="s">
        <v>84</v>
      </c>
      <c r="D59" s="1" t="s">
        <v>5</v>
      </c>
      <c r="E59" s="2">
        <v>42230.457638888889</v>
      </c>
      <c r="F59" s="1" t="s">
        <v>6</v>
      </c>
      <c r="G59" s="1">
        <v>226741</v>
      </c>
      <c r="H59" s="1">
        <v>26</v>
      </c>
      <c r="I59" s="1" t="s">
        <v>81</v>
      </c>
      <c r="J59" s="1">
        <f>+Table2[[#This Row],[Ventas]]/Table2[[#This Row],[Cantidad]]</f>
        <v>8720.8076923076915</v>
      </c>
      <c r="K59" s="1" t="str">
        <f>+_xlfn.IFS(Table2[[#This Row],[Ventas]]&gt;200000,"Alta", Table2[[#This Row],[Ventas]]&gt;100000,"Media",TRUE,"Bajo")</f>
        <v>Alta</v>
      </c>
    </row>
    <row r="60" spans="1:11" x14ac:dyDescent="0.25">
      <c r="A60" s="1" t="s">
        <v>99</v>
      </c>
      <c r="B60" s="1" t="s">
        <v>72</v>
      </c>
      <c r="C60" s="1" t="s">
        <v>91</v>
      </c>
      <c r="D60" s="1" t="s">
        <v>9</v>
      </c>
      <c r="E60" s="2">
        <v>42228.457638888889</v>
      </c>
      <c r="F60" s="1" t="s">
        <v>7</v>
      </c>
      <c r="G60" s="1">
        <v>206321</v>
      </c>
      <c r="H60" s="1">
        <v>21</v>
      </c>
      <c r="I60" s="1" t="s">
        <v>80</v>
      </c>
      <c r="J60" s="1">
        <f>+Table2[[#This Row],[Ventas]]/Table2[[#This Row],[Cantidad]]</f>
        <v>9824.8095238095229</v>
      </c>
      <c r="K60" s="1" t="str">
        <f>+_xlfn.IFS(Table2[[#This Row],[Ventas]]&gt;200000,"Alta", Table2[[#This Row],[Ventas]]&gt;100000,"Media",TRUE,"Bajo")</f>
        <v>Alta</v>
      </c>
    </row>
    <row r="61" spans="1:11" x14ac:dyDescent="0.25">
      <c r="A61" s="1" t="s">
        <v>99</v>
      </c>
      <c r="B61" s="1" t="s">
        <v>4</v>
      </c>
      <c r="C61" s="1" t="s">
        <v>86</v>
      </c>
      <c r="D61" s="1" t="s">
        <v>5</v>
      </c>
      <c r="E61" s="2">
        <v>42230.457638888889</v>
      </c>
      <c r="F61" s="1" t="s">
        <v>6</v>
      </c>
      <c r="G61" s="1">
        <v>69721</v>
      </c>
      <c r="H61" s="1">
        <v>28</v>
      </c>
      <c r="I61" s="1" t="s">
        <v>80</v>
      </c>
      <c r="J61" s="1">
        <f>+Table2[[#This Row],[Ventas]]/Table2[[#This Row],[Cantidad]]</f>
        <v>2490.0357142857142</v>
      </c>
      <c r="K61" s="1" t="str">
        <f>+_xlfn.IFS(Table2[[#This Row],[Ventas]]&gt;200000,"Alta", Table2[[#This Row],[Ventas]]&gt;100000,"Media",TRUE,"Bajo")</f>
        <v>Bajo</v>
      </c>
    </row>
    <row r="62" spans="1:11" x14ac:dyDescent="0.25">
      <c r="A62" s="1" t="s">
        <v>99</v>
      </c>
      <c r="B62" s="1" t="s">
        <v>122</v>
      </c>
      <c r="C62" s="1" t="s">
        <v>92</v>
      </c>
      <c r="D62" s="1" t="s">
        <v>5</v>
      </c>
      <c r="E62" s="2">
        <v>42247.457638888889</v>
      </c>
      <c r="F62" s="1" t="s">
        <v>12</v>
      </c>
      <c r="G62" s="1">
        <v>76974</v>
      </c>
      <c r="H62" s="1">
        <v>17</v>
      </c>
      <c r="I62" s="1" t="s">
        <v>82</v>
      </c>
      <c r="J62" s="1">
        <f>+Table2[[#This Row],[Ventas]]/Table2[[#This Row],[Cantidad]]</f>
        <v>4527.8823529411766</v>
      </c>
      <c r="K62" s="1" t="str">
        <f>+_xlfn.IFS(Table2[[#This Row],[Ventas]]&gt;200000,"Alta", Table2[[#This Row],[Ventas]]&gt;100000,"Media",TRUE,"Bajo")</f>
        <v>Bajo</v>
      </c>
    </row>
    <row r="63" spans="1:11" x14ac:dyDescent="0.25">
      <c r="A63" s="1" t="s">
        <v>99</v>
      </c>
      <c r="B63" s="1" t="s">
        <v>17</v>
      </c>
      <c r="C63" s="1" t="s">
        <v>89</v>
      </c>
      <c r="D63" s="1" t="s">
        <v>9</v>
      </c>
      <c r="E63" s="2">
        <v>42235.457638888889</v>
      </c>
      <c r="F63" s="1" t="s">
        <v>10</v>
      </c>
      <c r="G63" s="1">
        <v>174407</v>
      </c>
      <c r="H63" s="1">
        <v>22</v>
      </c>
      <c r="I63" s="1" t="s">
        <v>79</v>
      </c>
      <c r="J63" s="1">
        <f>+Table2[[#This Row],[Ventas]]/Table2[[#This Row],[Cantidad]]</f>
        <v>7927.590909090909</v>
      </c>
      <c r="K63" s="1" t="str">
        <f>+_xlfn.IFS(Table2[[#This Row],[Ventas]]&gt;200000,"Alta", Table2[[#This Row],[Ventas]]&gt;100000,"Media",TRUE,"Bajo")</f>
        <v>Media</v>
      </c>
    </row>
    <row r="64" spans="1:11" x14ac:dyDescent="0.25">
      <c r="A64" s="1" t="s">
        <v>99</v>
      </c>
      <c r="B64" s="1" t="s">
        <v>130</v>
      </c>
      <c r="C64" s="1" t="s">
        <v>92</v>
      </c>
      <c r="D64" s="1" t="s">
        <v>5</v>
      </c>
      <c r="E64" s="2">
        <v>42247.457638888889</v>
      </c>
      <c r="F64" s="1" t="s">
        <v>7</v>
      </c>
      <c r="G64" s="1">
        <v>149823</v>
      </c>
      <c r="H64" s="1">
        <v>40</v>
      </c>
      <c r="I64" s="1" t="s">
        <v>79</v>
      </c>
      <c r="J64" s="1">
        <f>+Table2[[#This Row],[Ventas]]/Table2[[#This Row],[Cantidad]]</f>
        <v>3745.5749999999998</v>
      </c>
      <c r="K64" s="1" t="str">
        <f>+_xlfn.IFS(Table2[[#This Row],[Ventas]]&gt;200000,"Alta", Table2[[#This Row],[Ventas]]&gt;100000,"Media",TRUE,"Bajo")</f>
        <v>Media</v>
      </c>
    </row>
    <row r="65" spans="1:11" x14ac:dyDescent="0.25">
      <c r="A65" s="1" t="s">
        <v>99</v>
      </c>
      <c r="B65" s="1" t="s">
        <v>4</v>
      </c>
      <c r="C65" s="1" t="s">
        <v>92</v>
      </c>
      <c r="D65" s="1" t="s">
        <v>5</v>
      </c>
      <c r="E65" s="2">
        <v>42233.457638888889</v>
      </c>
      <c r="F65" s="1" t="s">
        <v>7</v>
      </c>
      <c r="G65" s="1">
        <v>68074</v>
      </c>
      <c r="H65" s="1">
        <v>18</v>
      </c>
      <c r="I65" s="1" t="s">
        <v>80</v>
      </c>
      <c r="J65" s="1">
        <f>+Table2[[#This Row],[Ventas]]/Table2[[#This Row],[Cantidad]]</f>
        <v>3781.8888888888887</v>
      </c>
      <c r="K65" s="1" t="str">
        <f>+_xlfn.IFS(Table2[[#This Row],[Ventas]]&gt;200000,"Alta", Table2[[#This Row],[Ventas]]&gt;100000,"Media",TRUE,"Bajo")</f>
        <v>Bajo</v>
      </c>
    </row>
    <row r="66" spans="1:11" x14ac:dyDescent="0.25">
      <c r="A66" s="1" t="s">
        <v>100</v>
      </c>
      <c r="B66" s="1" t="s">
        <v>116</v>
      </c>
      <c r="C66" s="1" t="s">
        <v>87</v>
      </c>
      <c r="D66" s="1" t="s">
        <v>9</v>
      </c>
      <c r="E66" s="2">
        <v>42244.457638888889</v>
      </c>
      <c r="F66" s="1" t="s">
        <v>6</v>
      </c>
      <c r="G66" s="1">
        <v>204873</v>
      </c>
      <c r="H66" s="1">
        <v>39</v>
      </c>
      <c r="I66" s="1" t="s">
        <v>93</v>
      </c>
      <c r="J66" s="1">
        <f>+Table2[[#This Row],[Ventas]]/Table2[[#This Row],[Cantidad]]</f>
        <v>5253.1538461538457</v>
      </c>
      <c r="K66" s="1" t="str">
        <f>+_xlfn.IFS(Table2[[#This Row],[Ventas]]&gt;200000,"Alta", Table2[[#This Row],[Ventas]]&gt;100000,"Media",TRUE,"Bajo")</f>
        <v>Alta</v>
      </c>
    </row>
    <row r="67" spans="1:11" x14ac:dyDescent="0.25">
      <c r="A67" s="1" t="s">
        <v>100</v>
      </c>
      <c r="B67" s="1" t="s">
        <v>4</v>
      </c>
      <c r="C67" s="1" t="s">
        <v>86</v>
      </c>
      <c r="D67" s="1" t="s">
        <v>5</v>
      </c>
      <c r="E67" s="2">
        <v>42230.457638888889</v>
      </c>
      <c r="F67" s="1" t="s">
        <v>6</v>
      </c>
      <c r="G67" s="1">
        <v>135721</v>
      </c>
      <c r="H67" s="1">
        <v>34</v>
      </c>
      <c r="I67" s="1" t="s">
        <v>82</v>
      </c>
      <c r="J67" s="1">
        <f>+Table2[[#This Row],[Ventas]]/Table2[[#This Row],[Cantidad]]</f>
        <v>3991.794117647059</v>
      </c>
      <c r="K67" s="1" t="str">
        <f>+_xlfn.IFS(Table2[[#This Row],[Ventas]]&gt;200000,"Alta", Table2[[#This Row],[Ventas]]&gt;100000,"Media",TRUE,"Bajo")</f>
        <v>Media</v>
      </c>
    </row>
    <row r="68" spans="1:11" x14ac:dyDescent="0.25">
      <c r="A68" s="1" t="s">
        <v>100</v>
      </c>
      <c r="B68" s="1" t="s">
        <v>130</v>
      </c>
      <c r="C68" s="1" t="s">
        <v>92</v>
      </c>
      <c r="D68" s="1" t="s">
        <v>5</v>
      </c>
      <c r="E68" s="2">
        <v>42247.457638888889</v>
      </c>
      <c r="F68" s="1" t="s">
        <v>7</v>
      </c>
      <c r="G68" s="1">
        <v>239233</v>
      </c>
      <c r="H68" s="1">
        <v>20</v>
      </c>
      <c r="I68" s="1" t="s">
        <v>82</v>
      </c>
      <c r="J68" s="1">
        <f>+Table2[[#This Row],[Ventas]]/Table2[[#This Row],[Cantidad]]</f>
        <v>11961.65</v>
      </c>
      <c r="K68" s="1" t="str">
        <f>+_xlfn.IFS(Table2[[#This Row],[Ventas]]&gt;200000,"Alta", Table2[[#This Row],[Ventas]]&gt;100000,"Media",TRUE,"Bajo")</f>
        <v>Alta</v>
      </c>
    </row>
    <row r="69" spans="1:11" x14ac:dyDescent="0.25">
      <c r="A69" s="1" t="s">
        <v>100</v>
      </c>
      <c r="B69" s="1" t="s">
        <v>130</v>
      </c>
      <c r="C69" s="1" t="s">
        <v>92</v>
      </c>
      <c r="D69" s="1" t="s">
        <v>5</v>
      </c>
      <c r="E69" s="2">
        <v>42247.457638888889</v>
      </c>
      <c r="F69" s="1" t="s">
        <v>7</v>
      </c>
      <c r="G69" s="1">
        <v>203792</v>
      </c>
      <c r="H69" s="1">
        <v>26</v>
      </c>
      <c r="I69" s="1" t="s">
        <v>81</v>
      </c>
      <c r="J69" s="1">
        <f>+Table2[[#This Row],[Ventas]]/Table2[[#This Row],[Cantidad]]</f>
        <v>7838.1538461538457</v>
      </c>
      <c r="K69" s="1" t="str">
        <f>+_xlfn.IFS(Table2[[#This Row],[Ventas]]&gt;200000,"Alta", Table2[[#This Row],[Ventas]]&gt;100000,"Media",TRUE,"Bajo")</f>
        <v>Alta</v>
      </c>
    </row>
    <row r="70" spans="1:11" x14ac:dyDescent="0.25">
      <c r="A70" s="1" t="s">
        <v>100</v>
      </c>
      <c r="B70" s="1" t="s">
        <v>140</v>
      </c>
      <c r="C70" s="1" t="s">
        <v>87</v>
      </c>
      <c r="D70" s="1" t="s">
        <v>9</v>
      </c>
      <c r="E70" s="2">
        <v>42244.457638888889</v>
      </c>
      <c r="F70" s="1" t="s">
        <v>6</v>
      </c>
      <c r="G70" s="1">
        <v>72604</v>
      </c>
      <c r="H70" s="1">
        <v>31</v>
      </c>
      <c r="I70" s="1" t="s">
        <v>81</v>
      </c>
      <c r="J70" s="1">
        <f>+Table2[[#This Row],[Ventas]]/Table2[[#This Row],[Cantidad]]</f>
        <v>2342.0645161290322</v>
      </c>
      <c r="K70" s="1" t="str">
        <f>+_xlfn.IFS(Table2[[#This Row],[Ventas]]&gt;200000,"Alta", Table2[[#This Row],[Ventas]]&gt;100000,"Media",TRUE,"Bajo")</f>
        <v>Bajo</v>
      </c>
    </row>
    <row r="71" spans="1:11" x14ac:dyDescent="0.25">
      <c r="A71" s="1" t="s">
        <v>100</v>
      </c>
      <c r="B71" s="1" t="s">
        <v>56</v>
      </c>
      <c r="C71" s="1" t="s">
        <v>88</v>
      </c>
      <c r="D71" s="1" t="s">
        <v>9</v>
      </c>
      <c r="E71" s="2">
        <v>42247.457638888889</v>
      </c>
      <c r="F71" s="1" t="s">
        <v>6</v>
      </c>
      <c r="G71" s="1">
        <v>202638</v>
      </c>
      <c r="H71" s="1">
        <v>39</v>
      </c>
      <c r="I71" s="1" t="s">
        <v>80</v>
      </c>
      <c r="J71" s="1">
        <f>+Table2[[#This Row],[Ventas]]/Table2[[#This Row],[Cantidad]]</f>
        <v>5195.8461538461543</v>
      </c>
      <c r="K71" s="1" t="str">
        <f>+_xlfn.IFS(Table2[[#This Row],[Ventas]]&gt;200000,"Alta", Table2[[#This Row],[Ventas]]&gt;100000,"Media",TRUE,"Bajo")</f>
        <v>Alta</v>
      </c>
    </row>
    <row r="72" spans="1:11" x14ac:dyDescent="0.25">
      <c r="A72" s="1" t="s">
        <v>100</v>
      </c>
      <c r="B72" s="1" t="s">
        <v>137</v>
      </c>
      <c r="C72" s="1" t="s">
        <v>88</v>
      </c>
      <c r="D72" s="1" t="s">
        <v>9</v>
      </c>
      <c r="E72" s="2">
        <v>42235.457638888889</v>
      </c>
      <c r="F72" s="1" t="s">
        <v>6</v>
      </c>
      <c r="G72" s="1">
        <v>53364</v>
      </c>
      <c r="H72" s="1">
        <v>26</v>
      </c>
      <c r="I72" s="1" t="s">
        <v>80</v>
      </c>
      <c r="J72" s="1">
        <f>+Table2[[#This Row],[Ventas]]/Table2[[#This Row],[Cantidad]]</f>
        <v>2052.4615384615386</v>
      </c>
      <c r="K72" s="1" t="str">
        <f>+_xlfn.IFS(Table2[[#This Row],[Ventas]]&gt;200000,"Alta", Table2[[#This Row],[Ventas]]&gt;100000,"Media",TRUE,"Bajo")</f>
        <v>Bajo</v>
      </c>
    </row>
    <row r="73" spans="1:11" x14ac:dyDescent="0.25">
      <c r="A73" s="1" t="s">
        <v>100</v>
      </c>
      <c r="B73" s="1" t="s">
        <v>4</v>
      </c>
      <c r="C73" s="1" t="s">
        <v>92</v>
      </c>
      <c r="D73" s="1" t="s">
        <v>5</v>
      </c>
      <c r="E73" s="2">
        <v>42237.457638888889</v>
      </c>
      <c r="F73" s="1" t="s">
        <v>6</v>
      </c>
      <c r="G73" s="1">
        <v>242535</v>
      </c>
      <c r="H73" s="1">
        <v>21</v>
      </c>
      <c r="I73" s="1" t="s">
        <v>93</v>
      </c>
      <c r="J73" s="1">
        <f>+Table2[[#This Row],[Ventas]]/Table2[[#This Row],[Cantidad]]</f>
        <v>11549.285714285714</v>
      </c>
      <c r="K73" s="1" t="str">
        <f>+_xlfn.IFS(Table2[[#This Row],[Ventas]]&gt;200000,"Alta", Table2[[#This Row],[Ventas]]&gt;100000,"Media",TRUE,"Bajo")</f>
        <v>Alta</v>
      </c>
    </row>
    <row r="74" spans="1:11" x14ac:dyDescent="0.25">
      <c r="A74" s="1" t="s">
        <v>100</v>
      </c>
      <c r="B74" s="1" t="s">
        <v>130</v>
      </c>
      <c r="C74" s="1" t="s">
        <v>92</v>
      </c>
      <c r="D74" s="1" t="s">
        <v>5</v>
      </c>
      <c r="E74" s="2">
        <v>42247.457638888889</v>
      </c>
      <c r="F74" s="1" t="s">
        <v>7</v>
      </c>
      <c r="G74" s="1">
        <v>242600</v>
      </c>
      <c r="H74" s="1">
        <v>20</v>
      </c>
      <c r="I74" s="1" t="s">
        <v>79</v>
      </c>
      <c r="J74" s="1">
        <f>+Table2[[#This Row],[Ventas]]/Table2[[#This Row],[Cantidad]]</f>
        <v>12130</v>
      </c>
      <c r="K74" s="1" t="str">
        <f>+_xlfn.IFS(Table2[[#This Row],[Ventas]]&gt;200000,"Alta", Table2[[#This Row],[Ventas]]&gt;100000,"Media",TRUE,"Bajo")</f>
        <v>Alta</v>
      </c>
    </row>
    <row r="75" spans="1:11" x14ac:dyDescent="0.25">
      <c r="A75" s="1" t="s">
        <v>100</v>
      </c>
      <c r="B75" s="1" t="s">
        <v>130</v>
      </c>
      <c r="C75" s="1" t="s">
        <v>92</v>
      </c>
      <c r="D75" s="1" t="s">
        <v>5</v>
      </c>
      <c r="E75" s="2">
        <v>42247.457638888889</v>
      </c>
      <c r="F75" s="1" t="s">
        <v>7</v>
      </c>
      <c r="G75" s="1">
        <v>154734</v>
      </c>
      <c r="H75" s="1">
        <v>25</v>
      </c>
      <c r="I75" s="1" t="s">
        <v>79</v>
      </c>
      <c r="J75" s="1">
        <f>+Table2[[#This Row],[Ventas]]/Table2[[#This Row],[Cantidad]]</f>
        <v>6189.36</v>
      </c>
      <c r="K75" s="1" t="str">
        <f>+_xlfn.IFS(Table2[[#This Row],[Ventas]]&gt;200000,"Alta", Table2[[#This Row],[Ventas]]&gt;100000,"Media",TRUE,"Bajo")</f>
        <v>Media</v>
      </c>
    </row>
    <row r="76" spans="1:11" x14ac:dyDescent="0.25">
      <c r="A76" s="1" t="s">
        <v>100</v>
      </c>
      <c r="B76" s="1" t="s">
        <v>130</v>
      </c>
      <c r="C76" s="1" t="s">
        <v>92</v>
      </c>
      <c r="D76" s="1" t="s">
        <v>5</v>
      </c>
      <c r="E76" s="2">
        <v>42247.457638888889</v>
      </c>
      <c r="F76" s="1" t="s">
        <v>7</v>
      </c>
      <c r="G76" s="1">
        <v>234847</v>
      </c>
      <c r="H76" s="1">
        <v>31</v>
      </c>
      <c r="I76" s="1" t="s">
        <v>80</v>
      </c>
      <c r="J76" s="1">
        <f>+Table2[[#This Row],[Ventas]]/Table2[[#This Row],[Cantidad]]</f>
        <v>7575.7096774193551</v>
      </c>
      <c r="K76" s="1" t="str">
        <f>+_xlfn.IFS(Table2[[#This Row],[Ventas]]&gt;200000,"Alta", Table2[[#This Row],[Ventas]]&gt;100000,"Media",TRUE,"Bajo")</f>
        <v>Alta</v>
      </c>
    </row>
    <row r="77" spans="1:11" x14ac:dyDescent="0.25">
      <c r="A77" s="1" t="s">
        <v>100</v>
      </c>
      <c r="B77" s="1" t="s">
        <v>130</v>
      </c>
      <c r="C77" s="1" t="s">
        <v>92</v>
      </c>
      <c r="D77" s="1" t="s">
        <v>5</v>
      </c>
      <c r="E77" s="2">
        <v>42247.457638888889</v>
      </c>
      <c r="F77" s="1" t="s">
        <v>7</v>
      </c>
      <c r="G77" s="1">
        <v>205722</v>
      </c>
      <c r="H77" s="1">
        <v>25</v>
      </c>
      <c r="I77" s="1" t="s">
        <v>81</v>
      </c>
      <c r="J77" s="1">
        <f>+Table2[[#This Row],[Ventas]]/Table2[[#This Row],[Cantidad]]</f>
        <v>8228.8799999999992</v>
      </c>
      <c r="K77" s="1" t="str">
        <f>+_xlfn.IFS(Table2[[#This Row],[Ventas]]&gt;200000,"Alta", Table2[[#This Row],[Ventas]]&gt;100000,"Media",TRUE,"Bajo")</f>
        <v>Alta</v>
      </c>
    </row>
    <row r="78" spans="1:11" x14ac:dyDescent="0.25">
      <c r="A78" s="1" t="s">
        <v>100</v>
      </c>
      <c r="B78" s="1" t="s">
        <v>56</v>
      </c>
      <c r="C78" s="1" t="s">
        <v>88</v>
      </c>
      <c r="D78" s="1" t="s">
        <v>9</v>
      </c>
      <c r="E78" s="2">
        <v>42247.457638888889</v>
      </c>
      <c r="F78" s="1" t="s">
        <v>6</v>
      </c>
      <c r="G78" s="1">
        <v>200068</v>
      </c>
      <c r="H78" s="1">
        <v>15</v>
      </c>
      <c r="I78" s="1" t="s">
        <v>79</v>
      </c>
      <c r="J78" s="1">
        <f>+Table2[[#This Row],[Ventas]]/Table2[[#This Row],[Cantidad]]</f>
        <v>13337.866666666667</v>
      </c>
      <c r="K78" s="1" t="str">
        <f>+_xlfn.IFS(Table2[[#This Row],[Ventas]]&gt;200000,"Alta", Table2[[#This Row],[Ventas]]&gt;100000,"Media",TRUE,"Bajo")</f>
        <v>Alta</v>
      </c>
    </row>
    <row r="79" spans="1:11" x14ac:dyDescent="0.25">
      <c r="A79" s="1" t="s">
        <v>100</v>
      </c>
      <c r="B79" s="1" t="s">
        <v>140</v>
      </c>
      <c r="C79" s="1" t="s">
        <v>87</v>
      </c>
      <c r="D79" s="1" t="s">
        <v>9</v>
      </c>
      <c r="E79" s="2">
        <v>42244.457638888889</v>
      </c>
      <c r="F79" s="1" t="s">
        <v>6</v>
      </c>
      <c r="G79" s="1">
        <v>175818</v>
      </c>
      <c r="H79" s="1">
        <v>40</v>
      </c>
      <c r="I79" s="1" t="s">
        <v>81</v>
      </c>
      <c r="J79" s="1">
        <f>+Table2[[#This Row],[Ventas]]/Table2[[#This Row],[Cantidad]]</f>
        <v>4395.45</v>
      </c>
      <c r="K79" s="1" t="str">
        <f>+_xlfn.IFS(Table2[[#This Row],[Ventas]]&gt;200000,"Alta", Table2[[#This Row],[Ventas]]&gt;100000,"Media",TRUE,"Bajo")</f>
        <v>Media</v>
      </c>
    </row>
    <row r="80" spans="1:11" x14ac:dyDescent="0.25">
      <c r="A80" s="1" t="s">
        <v>100</v>
      </c>
      <c r="B80" s="1" t="s">
        <v>50</v>
      </c>
      <c r="C80" s="1" t="s">
        <v>87</v>
      </c>
      <c r="D80" s="1" t="s">
        <v>9</v>
      </c>
      <c r="E80" s="2">
        <v>42244.457638888889</v>
      </c>
      <c r="F80" s="1" t="s">
        <v>6</v>
      </c>
      <c r="G80" s="1">
        <v>158704</v>
      </c>
      <c r="H80" s="1">
        <v>19</v>
      </c>
      <c r="I80" s="1" t="s">
        <v>93</v>
      </c>
      <c r="J80" s="1">
        <f>+Table2[[#This Row],[Ventas]]/Table2[[#This Row],[Cantidad]]</f>
        <v>8352.8421052631584</v>
      </c>
      <c r="K80" s="1" t="str">
        <f>+_xlfn.IFS(Table2[[#This Row],[Ventas]]&gt;200000,"Alta", Table2[[#This Row],[Ventas]]&gt;100000,"Media",TRUE,"Bajo")</f>
        <v>Media</v>
      </c>
    </row>
    <row r="81" spans="1:11" x14ac:dyDescent="0.25">
      <c r="A81" s="1" t="s">
        <v>101</v>
      </c>
      <c r="B81" s="1" t="s">
        <v>4</v>
      </c>
      <c r="C81" s="1" t="s">
        <v>86</v>
      </c>
      <c r="D81" s="1" t="s">
        <v>5</v>
      </c>
      <c r="E81" s="2">
        <v>42230.457638888889</v>
      </c>
      <c r="F81" s="1" t="s">
        <v>6</v>
      </c>
      <c r="G81" s="1">
        <v>104352</v>
      </c>
      <c r="H81" s="1">
        <v>38</v>
      </c>
      <c r="I81" s="1" t="s">
        <v>79</v>
      </c>
      <c r="J81" s="1">
        <f>+Table2[[#This Row],[Ventas]]/Table2[[#This Row],[Cantidad]]</f>
        <v>2746.1052631578946</v>
      </c>
      <c r="K81" s="1" t="str">
        <f>+_xlfn.IFS(Table2[[#This Row],[Ventas]]&gt;200000,"Alta", Table2[[#This Row],[Ventas]]&gt;100000,"Media",TRUE,"Bajo")</f>
        <v>Media</v>
      </c>
    </row>
    <row r="82" spans="1:11" x14ac:dyDescent="0.25">
      <c r="A82" s="1" t="s">
        <v>101</v>
      </c>
      <c r="B82" s="1" t="s">
        <v>148</v>
      </c>
      <c r="C82" s="1" t="s">
        <v>89</v>
      </c>
      <c r="D82" s="1" t="s">
        <v>9</v>
      </c>
      <c r="E82" s="2">
        <v>42244.457638888889</v>
      </c>
      <c r="F82" s="1" t="s">
        <v>7</v>
      </c>
      <c r="G82" s="1">
        <v>130549</v>
      </c>
      <c r="H82" s="1">
        <v>28</v>
      </c>
      <c r="I82" s="1" t="s">
        <v>80</v>
      </c>
      <c r="J82" s="1">
        <f>+Table2[[#This Row],[Ventas]]/Table2[[#This Row],[Cantidad]]</f>
        <v>4662.4642857142853</v>
      </c>
      <c r="K82" s="1" t="str">
        <f>+_xlfn.IFS(Table2[[#This Row],[Ventas]]&gt;200000,"Alta", Table2[[#This Row],[Ventas]]&gt;100000,"Media",TRUE,"Bajo")</f>
        <v>Media</v>
      </c>
    </row>
    <row r="83" spans="1:11" x14ac:dyDescent="0.25">
      <c r="A83" s="1" t="s">
        <v>101</v>
      </c>
      <c r="B83" s="1" t="s">
        <v>140</v>
      </c>
      <c r="C83" s="1" t="s">
        <v>87</v>
      </c>
      <c r="D83" s="1" t="s">
        <v>9</v>
      </c>
      <c r="E83" s="2">
        <v>42244.457638888889</v>
      </c>
      <c r="F83" s="1" t="s">
        <v>6</v>
      </c>
      <c r="G83" s="1">
        <v>124082</v>
      </c>
      <c r="H83" s="1">
        <v>28</v>
      </c>
      <c r="I83" s="1" t="s">
        <v>82</v>
      </c>
      <c r="J83" s="1">
        <f>+Table2[[#This Row],[Ventas]]/Table2[[#This Row],[Cantidad]]</f>
        <v>4431.5</v>
      </c>
      <c r="K83" s="1" t="str">
        <f>+_xlfn.IFS(Table2[[#This Row],[Ventas]]&gt;200000,"Alta", Table2[[#This Row],[Ventas]]&gt;100000,"Media",TRUE,"Bajo")</f>
        <v>Media</v>
      </c>
    </row>
    <row r="84" spans="1:11" x14ac:dyDescent="0.25">
      <c r="A84" s="1" t="s">
        <v>101</v>
      </c>
      <c r="B84" s="1" t="s">
        <v>39</v>
      </c>
      <c r="C84" s="1" t="s">
        <v>92</v>
      </c>
      <c r="D84" s="1" t="s">
        <v>5</v>
      </c>
      <c r="E84" s="2">
        <v>42247.457638888889</v>
      </c>
      <c r="F84" s="1" t="s">
        <v>7</v>
      </c>
      <c r="G84" s="1">
        <v>237385</v>
      </c>
      <c r="H84" s="1">
        <v>26</v>
      </c>
      <c r="I84" s="1" t="s">
        <v>81</v>
      </c>
      <c r="J84" s="1">
        <f>+Table2[[#This Row],[Ventas]]/Table2[[#This Row],[Cantidad]]</f>
        <v>9130.1923076923085</v>
      </c>
      <c r="K84" s="1" t="str">
        <f>+_xlfn.IFS(Table2[[#This Row],[Ventas]]&gt;200000,"Alta", Table2[[#This Row],[Ventas]]&gt;100000,"Media",TRUE,"Bajo")</f>
        <v>Alta</v>
      </c>
    </row>
    <row r="85" spans="1:11" x14ac:dyDescent="0.25">
      <c r="A85" s="1" t="s">
        <v>101</v>
      </c>
      <c r="B85" s="1" t="s">
        <v>145</v>
      </c>
      <c r="C85" s="1" t="s">
        <v>86</v>
      </c>
      <c r="D85" s="1" t="s">
        <v>9</v>
      </c>
      <c r="E85" s="2">
        <v>42240.457638888889</v>
      </c>
      <c r="F85" s="1" t="s">
        <v>7</v>
      </c>
      <c r="G85" s="1">
        <v>245254</v>
      </c>
      <c r="H85" s="1">
        <v>19</v>
      </c>
      <c r="I85" s="1" t="s">
        <v>80</v>
      </c>
      <c r="J85" s="1">
        <f>+Table2[[#This Row],[Ventas]]/Table2[[#This Row],[Cantidad]]</f>
        <v>12908.105263157895</v>
      </c>
      <c r="K85" s="1" t="str">
        <f>+_xlfn.IFS(Table2[[#This Row],[Ventas]]&gt;200000,"Alta", Table2[[#This Row],[Ventas]]&gt;100000,"Media",TRUE,"Bajo")</f>
        <v>Alta</v>
      </c>
    </row>
    <row r="86" spans="1:11" x14ac:dyDescent="0.25">
      <c r="A86" s="1" t="s">
        <v>101</v>
      </c>
      <c r="B86" s="1" t="s">
        <v>14</v>
      </c>
      <c r="C86" s="1" t="s">
        <v>89</v>
      </c>
      <c r="D86" s="1" t="s">
        <v>9</v>
      </c>
      <c r="E86" s="2">
        <v>42235.457638888889</v>
      </c>
      <c r="F86" s="1" t="s">
        <v>6</v>
      </c>
      <c r="G86" s="1">
        <v>231817</v>
      </c>
      <c r="H86" s="1">
        <v>41</v>
      </c>
      <c r="I86" s="1" t="s">
        <v>80</v>
      </c>
      <c r="J86" s="1">
        <f>+Table2[[#This Row],[Ventas]]/Table2[[#This Row],[Cantidad]]</f>
        <v>5654.0731707317073</v>
      </c>
      <c r="K86" s="1" t="str">
        <f>+_xlfn.IFS(Table2[[#This Row],[Ventas]]&gt;200000,"Alta", Table2[[#This Row],[Ventas]]&gt;100000,"Media",TRUE,"Bajo")</f>
        <v>Alta</v>
      </c>
    </row>
    <row r="87" spans="1:11" x14ac:dyDescent="0.25">
      <c r="A87" s="1" t="s">
        <v>101</v>
      </c>
      <c r="B87" s="1" t="s">
        <v>4</v>
      </c>
      <c r="C87" s="1" t="s">
        <v>84</v>
      </c>
      <c r="D87" s="1" t="s">
        <v>5</v>
      </c>
      <c r="E87" s="2">
        <v>42230.457638888889</v>
      </c>
      <c r="F87" s="1" t="s">
        <v>6</v>
      </c>
      <c r="G87" s="1">
        <v>114877</v>
      </c>
      <c r="H87" s="1">
        <v>23</v>
      </c>
      <c r="I87" s="1" t="s">
        <v>80</v>
      </c>
      <c r="J87" s="1">
        <f>+Table2[[#This Row],[Ventas]]/Table2[[#This Row],[Cantidad]]</f>
        <v>4994.652173913043</v>
      </c>
      <c r="K87" s="1" t="str">
        <f>+_xlfn.IFS(Table2[[#This Row],[Ventas]]&gt;200000,"Alta", Table2[[#This Row],[Ventas]]&gt;100000,"Media",TRUE,"Bajo")</f>
        <v>Media</v>
      </c>
    </row>
    <row r="88" spans="1:11" x14ac:dyDescent="0.25">
      <c r="A88" s="1" t="s">
        <v>102</v>
      </c>
      <c r="B88" s="1" t="s">
        <v>138</v>
      </c>
      <c r="C88" s="1" t="s">
        <v>84</v>
      </c>
      <c r="D88" s="1" t="s">
        <v>5</v>
      </c>
      <c r="E88" s="2">
        <v>42247.457638888889</v>
      </c>
      <c r="F88" s="1" t="s">
        <v>6</v>
      </c>
      <c r="G88" s="1">
        <v>167095</v>
      </c>
      <c r="H88" s="1">
        <v>42</v>
      </c>
      <c r="I88" s="1" t="s">
        <v>79</v>
      </c>
      <c r="J88" s="1">
        <f>+Table2[[#This Row],[Ventas]]/Table2[[#This Row],[Cantidad]]</f>
        <v>3978.4523809523807</v>
      </c>
      <c r="K88" s="1" t="str">
        <f>+_xlfn.IFS(Table2[[#This Row],[Ventas]]&gt;200000,"Alta", Table2[[#This Row],[Ventas]]&gt;100000,"Media",TRUE,"Bajo")</f>
        <v>Media</v>
      </c>
    </row>
    <row r="89" spans="1:11" x14ac:dyDescent="0.25">
      <c r="A89" s="1" t="s">
        <v>102</v>
      </c>
      <c r="B89" s="1" t="s">
        <v>137</v>
      </c>
      <c r="C89" s="1" t="s">
        <v>88</v>
      </c>
      <c r="D89" s="1" t="s">
        <v>9</v>
      </c>
      <c r="E89" s="2">
        <v>42235.457638888889</v>
      </c>
      <c r="F89" s="1" t="s">
        <v>6</v>
      </c>
      <c r="G89" s="1">
        <v>111841</v>
      </c>
      <c r="H89" s="1">
        <v>25</v>
      </c>
      <c r="I89" s="1" t="s">
        <v>81</v>
      </c>
      <c r="J89" s="1">
        <f>+Table2[[#This Row],[Ventas]]/Table2[[#This Row],[Cantidad]]</f>
        <v>4473.6400000000003</v>
      </c>
      <c r="K89" s="1" t="str">
        <f>+_xlfn.IFS(Table2[[#This Row],[Ventas]]&gt;200000,"Alta", Table2[[#This Row],[Ventas]]&gt;100000,"Media",TRUE,"Bajo")</f>
        <v>Media</v>
      </c>
    </row>
    <row r="90" spans="1:11" x14ac:dyDescent="0.25">
      <c r="A90" s="1" t="s">
        <v>102</v>
      </c>
      <c r="B90" s="1" t="s">
        <v>130</v>
      </c>
      <c r="C90" s="1" t="s">
        <v>92</v>
      </c>
      <c r="D90" s="1" t="s">
        <v>5</v>
      </c>
      <c r="E90" s="2">
        <v>42247.457638888889</v>
      </c>
      <c r="F90" s="1" t="s">
        <v>7</v>
      </c>
      <c r="G90" s="1">
        <v>103662</v>
      </c>
      <c r="H90" s="1">
        <v>18</v>
      </c>
      <c r="I90" s="1" t="s">
        <v>79</v>
      </c>
      <c r="J90" s="1">
        <f>+Table2[[#This Row],[Ventas]]/Table2[[#This Row],[Cantidad]]</f>
        <v>5759</v>
      </c>
      <c r="K90" s="1" t="str">
        <f>+_xlfn.IFS(Table2[[#This Row],[Ventas]]&gt;200000,"Alta", Table2[[#This Row],[Ventas]]&gt;100000,"Media",TRUE,"Bajo")</f>
        <v>Media</v>
      </c>
    </row>
    <row r="91" spans="1:11" x14ac:dyDescent="0.25">
      <c r="A91" s="1" t="s">
        <v>102</v>
      </c>
      <c r="B91" s="1" t="s">
        <v>130</v>
      </c>
      <c r="C91" s="1" t="s">
        <v>86</v>
      </c>
      <c r="D91" s="1" t="s">
        <v>5</v>
      </c>
      <c r="E91" s="2">
        <v>42242.457638888889</v>
      </c>
      <c r="F91" s="1" t="s">
        <v>7</v>
      </c>
      <c r="G91" s="1">
        <v>202094</v>
      </c>
      <c r="H91" s="1">
        <v>38</v>
      </c>
      <c r="I91" s="1" t="s">
        <v>79</v>
      </c>
      <c r="J91" s="1">
        <f>+Table2[[#This Row],[Ventas]]/Table2[[#This Row],[Cantidad]]</f>
        <v>5318.2631578947367</v>
      </c>
      <c r="K91" s="1" t="str">
        <f>+_xlfn.IFS(Table2[[#This Row],[Ventas]]&gt;200000,"Alta", Table2[[#This Row],[Ventas]]&gt;100000,"Media",TRUE,"Bajo")</f>
        <v>Alta</v>
      </c>
    </row>
    <row r="92" spans="1:11" x14ac:dyDescent="0.25">
      <c r="A92" s="1" t="s">
        <v>102</v>
      </c>
      <c r="B92" s="1" t="s">
        <v>14</v>
      </c>
      <c r="C92" s="1" t="s">
        <v>89</v>
      </c>
      <c r="D92" s="1" t="s">
        <v>9</v>
      </c>
      <c r="E92" s="2">
        <v>42235.457638888889</v>
      </c>
      <c r="F92" s="1" t="s">
        <v>6</v>
      </c>
      <c r="G92" s="1">
        <v>107557</v>
      </c>
      <c r="H92" s="1">
        <v>26</v>
      </c>
      <c r="I92" s="1" t="s">
        <v>80</v>
      </c>
      <c r="J92" s="1">
        <f>+Table2[[#This Row],[Ventas]]/Table2[[#This Row],[Cantidad]]</f>
        <v>4136.8076923076924</v>
      </c>
      <c r="K92" s="1" t="str">
        <f>+_xlfn.IFS(Table2[[#This Row],[Ventas]]&gt;200000,"Alta", Table2[[#This Row],[Ventas]]&gt;100000,"Media",TRUE,"Bajo")</f>
        <v>Media</v>
      </c>
    </row>
    <row r="93" spans="1:11" x14ac:dyDescent="0.25">
      <c r="A93" s="1" t="s">
        <v>102</v>
      </c>
      <c r="B93" s="1" t="s">
        <v>50</v>
      </c>
      <c r="C93" s="1" t="s">
        <v>87</v>
      </c>
      <c r="D93" s="1" t="s">
        <v>9</v>
      </c>
      <c r="E93" s="2">
        <v>42244.457638888889</v>
      </c>
      <c r="F93" s="1" t="s">
        <v>6</v>
      </c>
      <c r="G93" s="1">
        <v>139514</v>
      </c>
      <c r="H93" s="1">
        <v>28</v>
      </c>
      <c r="I93" s="1" t="s">
        <v>93</v>
      </c>
      <c r="J93" s="1">
        <f>+Table2[[#This Row],[Ventas]]/Table2[[#This Row],[Cantidad]]</f>
        <v>4982.6428571428569</v>
      </c>
      <c r="K93" s="1" t="str">
        <f>+_xlfn.IFS(Table2[[#This Row],[Ventas]]&gt;200000,"Alta", Table2[[#This Row],[Ventas]]&gt;100000,"Media",TRUE,"Bajo")</f>
        <v>Media</v>
      </c>
    </row>
    <row r="94" spans="1:11" x14ac:dyDescent="0.25">
      <c r="A94" s="1" t="s">
        <v>102</v>
      </c>
      <c r="B94" s="1" t="s">
        <v>57</v>
      </c>
      <c r="C94" s="1" t="s">
        <v>91</v>
      </c>
      <c r="D94" s="1" t="s">
        <v>9</v>
      </c>
      <c r="E94" s="2">
        <v>42247.457638888889</v>
      </c>
      <c r="F94" s="1" t="s">
        <v>6</v>
      </c>
      <c r="G94" s="1">
        <v>123929</v>
      </c>
      <c r="H94" s="1">
        <v>37</v>
      </c>
      <c r="I94" s="1" t="s">
        <v>93</v>
      </c>
      <c r="J94" s="1">
        <f>+Table2[[#This Row],[Ventas]]/Table2[[#This Row],[Cantidad]]</f>
        <v>3349.4324324324325</v>
      </c>
      <c r="K94" s="1" t="str">
        <f>+_xlfn.IFS(Table2[[#This Row],[Ventas]]&gt;200000,"Alta", Table2[[#This Row],[Ventas]]&gt;100000,"Media",TRUE,"Bajo")</f>
        <v>Media</v>
      </c>
    </row>
    <row r="95" spans="1:11" x14ac:dyDescent="0.25">
      <c r="A95" s="1" t="s">
        <v>102</v>
      </c>
      <c r="B95" s="1" t="s">
        <v>125</v>
      </c>
      <c r="C95" s="1" t="s">
        <v>84</v>
      </c>
      <c r="D95" s="1" t="s">
        <v>5</v>
      </c>
      <c r="E95" s="2">
        <v>42237.457638888889</v>
      </c>
      <c r="F95" s="1" t="s">
        <v>6</v>
      </c>
      <c r="G95" s="1">
        <v>142783</v>
      </c>
      <c r="H95" s="1">
        <v>23</v>
      </c>
      <c r="I95" s="1" t="s">
        <v>93</v>
      </c>
      <c r="J95" s="1">
        <f>+Table2[[#This Row],[Ventas]]/Table2[[#This Row],[Cantidad]]</f>
        <v>6207.95652173913</v>
      </c>
      <c r="K95" s="1" t="str">
        <f>+_xlfn.IFS(Table2[[#This Row],[Ventas]]&gt;200000,"Alta", Table2[[#This Row],[Ventas]]&gt;100000,"Media",TRUE,"Bajo")</f>
        <v>Media</v>
      </c>
    </row>
    <row r="96" spans="1:11" x14ac:dyDescent="0.25">
      <c r="A96" s="1" t="s">
        <v>102</v>
      </c>
      <c r="B96" s="1" t="s">
        <v>4</v>
      </c>
      <c r="C96" s="1" t="s">
        <v>86</v>
      </c>
      <c r="D96" s="1" t="s">
        <v>5</v>
      </c>
      <c r="E96" s="2">
        <v>42230.457638888889</v>
      </c>
      <c r="F96" s="1" t="s">
        <v>6</v>
      </c>
      <c r="G96" s="1">
        <v>169909</v>
      </c>
      <c r="H96" s="1">
        <v>16</v>
      </c>
      <c r="I96" s="1" t="s">
        <v>79</v>
      </c>
      <c r="J96" s="1">
        <f>+Table2[[#This Row],[Ventas]]/Table2[[#This Row],[Cantidad]]</f>
        <v>10619.3125</v>
      </c>
      <c r="K96" s="1" t="str">
        <f>+_xlfn.IFS(Table2[[#This Row],[Ventas]]&gt;200000,"Alta", Table2[[#This Row],[Ventas]]&gt;100000,"Media",TRUE,"Bajo")</f>
        <v>Media</v>
      </c>
    </row>
    <row r="97" spans="1:11" x14ac:dyDescent="0.25">
      <c r="A97" s="1" t="s">
        <v>95</v>
      </c>
      <c r="B97" s="1" t="s">
        <v>135</v>
      </c>
      <c r="C97" s="1" t="s">
        <v>90</v>
      </c>
      <c r="D97" s="1" t="s">
        <v>9</v>
      </c>
      <c r="E97" s="2">
        <v>42339.457638888889</v>
      </c>
      <c r="F97" s="1" t="s">
        <v>6</v>
      </c>
      <c r="G97" s="1">
        <v>83240</v>
      </c>
      <c r="H97" s="1">
        <v>15</v>
      </c>
      <c r="I97" s="1" t="s">
        <v>80</v>
      </c>
      <c r="J97" s="1">
        <f>+Table2[[#This Row],[Ventas]]/Table2[[#This Row],[Cantidad]]</f>
        <v>5549.333333333333</v>
      </c>
      <c r="K97" s="1" t="str">
        <f>+_xlfn.IFS(Table2[[#This Row],[Ventas]]&gt;200000,"Alta", Table2[[#This Row],[Ventas]]&gt;100000,"Media",TRUE,"Bajo")</f>
        <v>Bajo</v>
      </c>
    </row>
    <row r="98" spans="1:11" x14ac:dyDescent="0.25">
      <c r="A98" s="1" t="s">
        <v>95</v>
      </c>
      <c r="B98" s="1" t="s">
        <v>119</v>
      </c>
      <c r="C98" s="1" t="s">
        <v>92</v>
      </c>
      <c r="D98" s="1" t="s">
        <v>5</v>
      </c>
      <c r="E98" s="2">
        <v>42369.457638888889</v>
      </c>
      <c r="F98" s="1" t="s">
        <v>6</v>
      </c>
      <c r="G98" s="1">
        <v>129703</v>
      </c>
      <c r="H98" s="1">
        <v>24</v>
      </c>
      <c r="I98" s="1" t="s">
        <v>82</v>
      </c>
      <c r="J98" s="1">
        <f>+Table2[[#This Row],[Ventas]]/Table2[[#This Row],[Cantidad]]</f>
        <v>5404.291666666667</v>
      </c>
      <c r="K98" s="1" t="str">
        <f>+_xlfn.IFS(Table2[[#This Row],[Ventas]]&gt;200000,"Alta", Table2[[#This Row],[Ventas]]&gt;100000,"Media",TRUE,"Bajo")</f>
        <v>Media</v>
      </c>
    </row>
    <row r="99" spans="1:11" x14ac:dyDescent="0.25">
      <c r="A99" s="1" t="s">
        <v>96</v>
      </c>
      <c r="B99" s="1" t="s">
        <v>37</v>
      </c>
      <c r="C99" s="1" t="s">
        <v>89</v>
      </c>
      <c r="D99" s="1" t="s">
        <v>9</v>
      </c>
      <c r="E99" s="2">
        <v>42339.457638888889</v>
      </c>
      <c r="F99" s="1" t="s">
        <v>6</v>
      </c>
      <c r="G99" s="1">
        <v>168289</v>
      </c>
      <c r="H99" s="1">
        <v>28</v>
      </c>
      <c r="I99" s="1" t="s">
        <v>79</v>
      </c>
      <c r="J99" s="1">
        <f>+Table2[[#This Row],[Ventas]]/Table2[[#This Row],[Cantidad]]</f>
        <v>6010.3214285714284</v>
      </c>
      <c r="K99" s="1" t="str">
        <f>+_xlfn.IFS(Table2[[#This Row],[Ventas]]&gt;200000,"Alta", Table2[[#This Row],[Ventas]]&gt;100000,"Media",TRUE,"Bajo")</f>
        <v>Media</v>
      </c>
    </row>
    <row r="100" spans="1:11" x14ac:dyDescent="0.25">
      <c r="A100" s="1" t="s">
        <v>96</v>
      </c>
      <c r="B100" s="1" t="s">
        <v>39</v>
      </c>
      <c r="C100" s="1" t="s">
        <v>92</v>
      </c>
      <c r="D100" s="1" t="s">
        <v>5</v>
      </c>
      <c r="E100" s="2">
        <v>42369.457638888889</v>
      </c>
      <c r="F100" s="1" t="s">
        <v>6</v>
      </c>
      <c r="G100" s="1">
        <v>80286</v>
      </c>
      <c r="H100" s="1">
        <v>29</v>
      </c>
      <c r="I100" s="1" t="s">
        <v>93</v>
      </c>
      <c r="J100" s="1">
        <f>+Table2[[#This Row],[Ventas]]/Table2[[#This Row],[Cantidad]]</f>
        <v>2768.4827586206898</v>
      </c>
      <c r="K100" s="1" t="str">
        <f>+_xlfn.IFS(Table2[[#This Row],[Ventas]]&gt;200000,"Alta", Table2[[#This Row],[Ventas]]&gt;100000,"Media",TRUE,"Bajo")</f>
        <v>Bajo</v>
      </c>
    </row>
    <row r="101" spans="1:11" x14ac:dyDescent="0.25">
      <c r="A101" s="1" t="s">
        <v>96</v>
      </c>
      <c r="B101" s="1" t="s">
        <v>149</v>
      </c>
      <c r="C101" s="1" t="s">
        <v>91</v>
      </c>
      <c r="D101" s="1" t="s">
        <v>9</v>
      </c>
      <c r="E101" s="2">
        <v>42353.457638888889</v>
      </c>
      <c r="F101" s="1" t="s">
        <v>6</v>
      </c>
      <c r="G101" s="1">
        <v>172701</v>
      </c>
      <c r="H101" s="1">
        <v>21</v>
      </c>
      <c r="I101" s="1" t="s">
        <v>80</v>
      </c>
      <c r="J101" s="1">
        <f>+Table2[[#This Row],[Ventas]]/Table2[[#This Row],[Cantidad]]</f>
        <v>8223.8571428571431</v>
      </c>
      <c r="K101" s="1" t="str">
        <f>+_xlfn.IFS(Table2[[#This Row],[Ventas]]&gt;200000,"Alta", Table2[[#This Row],[Ventas]]&gt;100000,"Media",TRUE,"Bajo")</f>
        <v>Media</v>
      </c>
    </row>
    <row r="102" spans="1:11" x14ac:dyDescent="0.25">
      <c r="A102" s="1" t="s">
        <v>97</v>
      </c>
      <c r="B102" s="1" t="s">
        <v>114</v>
      </c>
      <c r="C102" s="1" t="s">
        <v>92</v>
      </c>
      <c r="D102" s="1" t="s">
        <v>5</v>
      </c>
      <c r="E102" s="2">
        <v>42353.457638888889</v>
      </c>
      <c r="F102" s="1" t="s">
        <v>6</v>
      </c>
      <c r="G102" s="1">
        <v>190132</v>
      </c>
      <c r="H102" s="1">
        <v>28</v>
      </c>
      <c r="I102" s="1" t="s">
        <v>81</v>
      </c>
      <c r="J102" s="1">
        <f>+Table2[[#This Row],[Ventas]]/Table2[[#This Row],[Cantidad]]</f>
        <v>6790.4285714285716</v>
      </c>
      <c r="K102" s="1" t="str">
        <f>+_xlfn.IFS(Table2[[#This Row],[Ventas]]&gt;200000,"Alta", Table2[[#This Row],[Ventas]]&gt;100000,"Media",TRUE,"Bajo")</f>
        <v>Media</v>
      </c>
    </row>
    <row r="103" spans="1:11" x14ac:dyDescent="0.25">
      <c r="A103" s="1" t="s">
        <v>97</v>
      </c>
      <c r="B103" s="1" t="s">
        <v>37</v>
      </c>
      <c r="C103" s="1" t="s">
        <v>89</v>
      </c>
      <c r="D103" s="1" t="s">
        <v>9</v>
      </c>
      <c r="E103" s="2">
        <v>42339.457638888889</v>
      </c>
      <c r="F103" s="1" t="s">
        <v>6</v>
      </c>
      <c r="G103" s="1">
        <v>241320</v>
      </c>
      <c r="H103" s="1">
        <v>33</v>
      </c>
      <c r="I103" s="1" t="s">
        <v>81</v>
      </c>
      <c r="J103" s="1">
        <f>+Table2[[#This Row],[Ventas]]/Table2[[#This Row],[Cantidad]]</f>
        <v>7312.727272727273</v>
      </c>
      <c r="K103" s="1" t="str">
        <f>+_xlfn.IFS(Table2[[#This Row],[Ventas]]&gt;200000,"Alta", Table2[[#This Row],[Ventas]]&gt;100000,"Media",TRUE,"Bajo")</f>
        <v>Alta</v>
      </c>
    </row>
    <row r="104" spans="1:11" x14ac:dyDescent="0.25">
      <c r="A104" s="1" t="s">
        <v>97</v>
      </c>
      <c r="B104" s="1" t="s">
        <v>37</v>
      </c>
      <c r="C104" s="1" t="s">
        <v>89</v>
      </c>
      <c r="D104" s="1" t="s">
        <v>9</v>
      </c>
      <c r="E104" s="2">
        <v>42339.457638888889</v>
      </c>
      <c r="F104" s="1" t="s">
        <v>6</v>
      </c>
      <c r="G104" s="1">
        <v>135809</v>
      </c>
      <c r="H104" s="1">
        <v>18</v>
      </c>
      <c r="I104" s="1" t="s">
        <v>79</v>
      </c>
      <c r="J104" s="1">
        <f>+Table2[[#This Row],[Ventas]]/Table2[[#This Row],[Cantidad]]</f>
        <v>7544.9444444444443</v>
      </c>
      <c r="K104" s="1" t="str">
        <f>+_xlfn.IFS(Table2[[#This Row],[Ventas]]&gt;200000,"Alta", Table2[[#This Row],[Ventas]]&gt;100000,"Media",TRUE,"Bajo")</f>
        <v>Media</v>
      </c>
    </row>
    <row r="105" spans="1:11" x14ac:dyDescent="0.25">
      <c r="A105" s="1" t="s">
        <v>97</v>
      </c>
      <c r="B105" s="1" t="s">
        <v>37</v>
      </c>
      <c r="C105" s="1" t="s">
        <v>89</v>
      </c>
      <c r="D105" s="1" t="s">
        <v>9</v>
      </c>
      <c r="E105" s="2">
        <v>42339.457638888889</v>
      </c>
      <c r="F105" s="1" t="s">
        <v>6</v>
      </c>
      <c r="G105" s="1">
        <v>172082</v>
      </c>
      <c r="H105" s="1">
        <v>30</v>
      </c>
      <c r="I105" s="1" t="s">
        <v>81</v>
      </c>
      <c r="J105" s="1">
        <f>+Table2[[#This Row],[Ventas]]/Table2[[#This Row],[Cantidad]]</f>
        <v>5736.0666666666666</v>
      </c>
      <c r="K105" s="1" t="str">
        <f>+_xlfn.IFS(Table2[[#This Row],[Ventas]]&gt;200000,"Alta", Table2[[#This Row],[Ventas]]&gt;100000,"Media",TRUE,"Bajo")</f>
        <v>Media</v>
      </c>
    </row>
    <row r="106" spans="1:11" x14ac:dyDescent="0.25">
      <c r="A106" s="1" t="s">
        <v>97</v>
      </c>
      <c r="B106" s="1" t="s">
        <v>37</v>
      </c>
      <c r="C106" s="1" t="s">
        <v>89</v>
      </c>
      <c r="D106" s="1" t="s">
        <v>9</v>
      </c>
      <c r="E106" s="2">
        <v>42339.457638888889</v>
      </c>
      <c r="F106" s="1" t="s">
        <v>6</v>
      </c>
      <c r="G106" s="1">
        <v>151283</v>
      </c>
      <c r="H106" s="1">
        <v>29</v>
      </c>
      <c r="I106" s="1" t="s">
        <v>79</v>
      </c>
      <c r="J106" s="1">
        <f>+Table2[[#This Row],[Ventas]]/Table2[[#This Row],[Cantidad]]</f>
        <v>5216.6551724137935</v>
      </c>
      <c r="K106" s="1" t="str">
        <f>+_xlfn.IFS(Table2[[#This Row],[Ventas]]&gt;200000,"Alta", Table2[[#This Row],[Ventas]]&gt;100000,"Media",TRUE,"Bajo")</f>
        <v>Media</v>
      </c>
    </row>
    <row r="107" spans="1:11" x14ac:dyDescent="0.25">
      <c r="A107" s="1" t="s">
        <v>97</v>
      </c>
      <c r="B107" s="1" t="s">
        <v>37</v>
      </c>
      <c r="C107" s="1" t="s">
        <v>90</v>
      </c>
      <c r="D107" s="1" t="s">
        <v>9</v>
      </c>
      <c r="E107" s="2">
        <v>42339.457638888889</v>
      </c>
      <c r="F107" s="1" t="s">
        <v>6</v>
      </c>
      <c r="G107" s="1">
        <v>219157</v>
      </c>
      <c r="H107" s="1">
        <v>15</v>
      </c>
      <c r="I107" s="1" t="s">
        <v>79</v>
      </c>
      <c r="J107" s="1">
        <f>+Table2[[#This Row],[Ventas]]/Table2[[#This Row],[Cantidad]]</f>
        <v>14610.466666666667</v>
      </c>
      <c r="K107" s="1" t="str">
        <f>+_xlfn.IFS(Table2[[#This Row],[Ventas]]&gt;200000,"Alta", Table2[[#This Row],[Ventas]]&gt;100000,"Media",TRUE,"Bajo")</f>
        <v>Alta</v>
      </c>
    </row>
    <row r="108" spans="1:11" x14ac:dyDescent="0.25">
      <c r="A108" s="1" t="s">
        <v>98</v>
      </c>
      <c r="B108" s="1" t="s">
        <v>15</v>
      </c>
      <c r="C108" s="1" t="s">
        <v>92</v>
      </c>
      <c r="D108" s="1" t="s">
        <v>5</v>
      </c>
      <c r="E108" s="2">
        <v>42363.457638888889</v>
      </c>
      <c r="F108" s="1" t="s">
        <v>7</v>
      </c>
      <c r="G108" s="1">
        <v>62548</v>
      </c>
      <c r="H108" s="1">
        <v>24</v>
      </c>
      <c r="I108" s="1" t="s">
        <v>79</v>
      </c>
      <c r="J108" s="1">
        <f>+Table2[[#This Row],[Ventas]]/Table2[[#This Row],[Cantidad]]</f>
        <v>2606.1666666666665</v>
      </c>
      <c r="K108" s="1" t="str">
        <f>+_xlfn.IFS(Table2[[#This Row],[Ventas]]&gt;200000,"Alta", Table2[[#This Row],[Ventas]]&gt;100000,"Media",TRUE,"Bajo")</f>
        <v>Bajo</v>
      </c>
    </row>
    <row r="109" spans="1:11" x14ac:dyDescent="0.25">
      <c r="A109" s="1" t="s">
        <v>98</v>
      </c>
      <c r="B109" s="1" t="s">
        <v>135</v>
      </c>
      <c r="C109" s="1" t="s">
        <v>90</v>
      </c>
      <c r="D109" s="1" t="s">
        <v>9</v>
      </c>
      <c r="E109" s="2">
        <v>42339.457638888889</v>
      </c>
      <c r="F109" s="1" t="s">
        <v>6</v>
      </c>
      <c r="G109" s="1">
        <v>134349</v>
      </c>
      <c r="H109" s="1">
        <v>21</v>
      </c>
      <c r="I109" s="1" t="s">
        <v>80</v>
      </c>
      <c r="J109" s="1">
        <f>+Table2[[#This Row],[Ventas]]/Table2[[#This Row],[Cantidad]]</f>
        <v>6397.5714285714284</v>
      </c>
      <c r="K109" s="1" t="str">
        <f>+_xlfn.IFS(Table2[[#This Row],[Ventas]]&gt;200000,"Alta", Table2[[#This Row],[Ventas]]&gt;100000,"Media",TRUE,"Bajo")</f>
        <v>Media</v>
      </c>
    </row>
    <row r="110" spans="1:11" x14ac:dyDescent="0.25">
      <c r="A110" s="1" t="s">
        <v>98</v>
      </c>
      <c r="B110" s="1" t="s">
        <v>135</v>
      </c>
      <c r="C110" s="1" t="s">
        <v>90</v>
      </c>
      <c r="D110" s="1" t="s">
        <v>9</v>
      </c>
      <c r="E110" s="2">
        <v>42339.457638888889</v>
      </c>
      <c r="F110" s="1" t="s">
        <v>6</v>
      </c>
      <c r="G110" s="1">
        <v>110899</v>
      </c>
      <c r="H110" s="1">
        <v>25</v>
      </c>
      <c r="I110" s="1" t="s">
        <v>80</v>
      </c>
      <c r="J110" s="1">
        <f>+Table2[[#This Row],[Ventas]]/Table2[[#This Row],[Cantidad]]</f>
        <v>4435.96</v>
      </c>
      <c r="K110" s="1" t="str">
        <f>+_xlfn.IFS(Table2[[#This Row],[Ventas]]&gt;200000,"Alta", Table2[[#This Row],[Ventas]]&gt;100000,"Media",TRUE,"Bajo")</f>
        <v>Media</v>
      </c>
    </row>
    <row r="111" spans="1:11" x14ac:dyDescent="0.25">
      <c r="A111" s="1" t="s">
        <v>98</v>
      </c>
      <c r="B111" s="1" t="s">
        <v>41</v>
      </c>
      <c r="C111" s="1" t="s">
        <v>90</v>
      </c>
      <c r="D111" s="1" t="s">
        <v>9</v>
      </c>
      <c r="E111" s="2">
        <v>42353.457638888889</v>
      </c>
      <c r="F111" s="1" t="s">
        <v>6</v>
      </c>
      <c r="G111" s="1">
        <v>226877</v>
      </c>
      <c r="H111" s="1">
        <v>23</v>
      </c>
      <c r="I111" s="1" t="s">
        <v>93</v>
      </c>
      <c r="J111" s="1">
        <f>+Table2[[#This Row],[Ventas]]/Table2[[#This Row],[Cantidad]]</f>
        <v>9864.217391304348</v>
      </c>
      <c r="K111" s="1" t="str">
        <f>+_xlfn.IFS(Table2[[#This Row],[Ventas]]&gt;200000,"Alta", Table2[[#This Row],[Ventas]]&gt;100000,"Media",TRUE,"Bajo")</f>
        <v>Alta</v>
      </c>
    </row>
    <row r="112" spans="1:11" x14ac:dyDescent="0.25">
      <c r="A112" s="1" t="s">
        <v>98</v>
      </c>
      <c r="B112" s="1" t="s">
        <v>37</v>
      </c>
      <c r="C112" s="1" t="s">
        <v>89</v>
      </c>
      <c r="D112" s="1" t="s">
        <v>9</v>
      </c>
      <c r="E112" s="2">
        <v>42339.457638888889</v>
      </c>
      <c r="F112" s="1" t="s">
        <v>6</v>
      </c>
      <c r="G112" s="1">
        <v>210657</v>
      </c>
      <c r="H112" s="1">
        <v>36</v>
      </c>
      <c r="I112" s="1" t="s">
        <v>79</v>
      </c>
      <c r="J112" s="1">
        <f>+Table2[[#This Row],[Ventas]]/Table2[[#This Row],[Cantidad]]</f>
        <v>5851.583333333333</v>
      </c>
      <c r="K112" s="1" t="str">
        <f>+_xlfn.IFS(Table2[[#This Row],[Ventas]]&gt;200000,"Alta", Table2[[#This Row],[Ventas]]&gt;100000,"Media",TRUE,"Bajo")</f>
        <v>Alta</v>
      </c>
    </row>
    <row r="113" spans="1:11" x14ac:dyDescent="0.25">
      <c r="A113" s="1" t="s">
        <v>98</v>
      </c>
      <c r="B113" s="1" t="s">
        <v>138</v>
      </c>
      <c r="C113" s="1" t="s">
        <v>92</v>
      </c>
      <c r="D113" s="1" t="s">
        <v>5</v>
      </c>
      <c r="E113" s="2">
        <v>42369.457638888889</v>
      </c>
      <c r="F113" s="1" t="s">
        <v>6</v>
      </c>
      <c r="G113" s="1">
        <v>60791</v>
      </c>
      <c r="H113" s="1">
        <v>15</v>
      </c>
      <c r="I113" s="1" t="s">
        <v>82</v>
      </c>
      <c r="J113" s="1">
        <f>+Table2[[#This Row],[Ventas]]/Table2[[#This Row],[Cantidad]]</f>
        <v>4052.7333333333331</v>
      </c>
      <c r="K113" s="1" t="str">
        <f>+_xlfn.IFS(Table2[[#This Row],[Ventas]]&gt;200000,"Alta", Table2[[#This Row],[Ventas]]&gt;100000,"Media",TRUE,"Bajo")</f>
        <v>Bajo</v>
      </c>
    </row>
    <row r="114" spans="1:11" x14ac:dyDescent="0.25">
      <c r="A114" s="1" t="s">
        <v>98</v>
      </c>
      <c r="B114" s="1" t="s">
        <v>37</v>
      </c>
      <c r="C114" s="1" t="s">
        <v>89</v>
      </c>
      <c r="D114" s="1" t="s">
        <v>9</v>
      </c>
      <c r="E114" s="2">
        <v>42339.457638888889</v>
      </c>
      <c r="F114" s="1" t="s">
        <v>6</v>
      </c>
      <c r="G114" s="1">
        <v>175961</v>
      </c>
      <c r="H114" s="1">
        <v>19</v>
      </c>
      <c r="I114" s="1" t="s">
        <v>79</v>
      </c>
      <c r="J114" s="1">
        <f>+Table2[[#This Row],[Ventas]]/Table2[[#This Row],[Cantidad]]</f>
        <v>9261.105263157895</v>
      </c>
      <c r="K114" s="1" t="str">
        <f>+_xlfn.IFS(Table2[[#This Row],[Ventas]]&gt;200000,"Alta", Table2[[#This Row],[Ventas]]&gt;100000,"Media",TRUE,"Bajo")</f>
        <v>Media</v>
      </c>
    </row>
    <row r="115" spans="1:11" x14ac:dyDescent="0.25">
      <c r="A115" s="1" t="s">
        <v>98</v>
      </c>
      <c r="B115" s="1" t="s">
        <v>15</v>
      </c>
      <c r="C115" s="1" t="s">
        <v>92</v>
      </c>
      <c r="D115" s="1" t="s">
        <v>5</v>
      </c>
      <c r="E115" s="2">
        <v>42363.457638888889</v>
      </c>
      <c r="F115" s="1" t="s">
        <v>7</v>
      </c>
      <c r="G115" s="1">
        <v>126313</v>
      </c>
      <c r="H115" s="1">
        <v>36</v>
      </c>
      <c r="I115" s="1" t="s">
        <v>82</v>
      </c>
      <c r="J115" s="1">
        <f>+Table2[[#This Row],[Ventas]]/Table2[[#This Row],[Cantidad]]</f>
        <v>3508.6944444444443</v>
      </c>
      <c r="K115" s="1" t="str">
        <f>+_xlfn.IFS(Table2[[#This Row],[Ventas]]&gt;200000,"Alta", Table2[[#This Row],[Ventas]]&gt;100000,"Media",TRUE,"Bajo")</f>
        <v>Media</v>
      </c>
    </row>
    <row r="116" spans="1:11" x14ac:dyDescent="0.25">
      <c r="A116" s="1" t="s">
        <v>98</v>
      </c>
      <c r="B116" s="1" t="s">
        <v>37</v>
      </c>
      <c r="C116" s="1" t="s">
        <v>89</v>
      </c>
      <c r="D116" s="1" t="s">
        <v>9</v>
      </c>
      <c r="E116" s="2">
        <v>42339.457638888889</v>
      </c>
      <c r="F116" s="1" t="s">
        <v>6</v>
      </c>
      <c r="G116" s="1">
        <v>128603</v>
      </c>
      <c r="H116" s="1">
        <v>30</v>
      </c>
      <c r="I116" s="1" t="s">
        <v>81</v>
      </c>
      <c r="J116" s="1">
        <f>+Table2[[#This Row],[Ventas]]/Table2[[#This Row],[Cantidad]]</f>
        <v>4286.7666666666664</v>
      </c>
      <c r="K116" s="1" t="str">
        <f>+_xlfn.IFS(Table2[[#This Row],[Ventas]]&gt;200000,"Alta", Table2[[#This Row],[Ventas]]&gt;100000,"Media",TRUE,"Bajo")</f>
        <v>Media</v>
      </c>
    </row>
    <row r="117" spans="1:11" x14ac:dyDescent="0.25">
      <c r="A117" s="1" t="s">
        <v>98</v>
      </c>
      <c r="B117" s="1" t="s">
        <v>125</v>
      </c>
      <c r="C117" s="1" t="s">
        <v>92</v>
      </c>
      <c r="D117" s="1" t="s">
        <v>5</v>
      </c>
      <c r="E117" s="2">
        <v>42368.457638888889</v>
      </c>
      <c r="F117" s="1" t="s">
        <v>6</v>
      </c>
      <c r="G117" s="1">
        <v>179961</v>
      </c>
      <c r="H117" s="1">
        <v>15</v>
      </c>
      <c r="I117" s="1" t="s">
        <v>82</v>
      </c>
      <c r="J117" s="1">
        <f>+Table2[[#This Row],[Ventas]]/Table2[[#This Row],[Cantidad]]</f>
        <v>11997.4</v>
      </c>
      <c r="K117" s="1" t="str">
        <f>+_xlfn.IFS(Table2[[#This Row],[Ventas]]&gt;200000,"Alta", Table2[[#This Row],[Ventas]]&gt;100000,"Media",TRUE,"Bajo")</f>
        <v>Media</v>
      </c>
    </row>
    <row r="118" spans="1:11" x14ac:dyDescent="0.25">
      <c r="A118" s="1" t="s">
        <v>98</v>
      </c>
      <c r="B118" s="1" t="s">
        <v>148</v>
      </c>
      <c r="C118" s="1" t="s">
        <v>90</v>
      </c>
      <c r="D118" s="1" t="s">
        <v>9</v>
      </c>
      <c r="E118" s="2">
        <v>42369.457638888889</v>
      </c>
      <c r="F118" s="1" t="s">
        <v>7</v>
      </c>
      <c r="G118" s="1">
        <v>191978</v>
      </c>
      <c r="H118" s="1">
        <v>41</v>
      </c>
      <c r="I118" s="1" t="s">
        <v>82</v>
      </c>
      <c r="J118" s="1">
        <f>+Table2[[#This Row],[Ventas]]/Table2[[#This Row],[Cantidad]]</f>
        <v>4682.3902439024387</v>
      </c>
      <c r="K118" s="1" t="str">
        <f>+_xlfn.IFS(Table2[[#This Row],[Ventas]]&gt;200000,"Alta", Table2[[#This Row],[Ventas]]&gt;100000,"Media",TRUE,"Bajo")</f>
        <v>Media</v>
      </c>
    </row>
    <row r="119" spans="1:11" x14ac:dyDescent="0.25">
      <c r="A119" s="1" t="s">
        <v>98</v>
      </c>
      <c r="B119" s="1" t="s">
        <v>129</v>
      </c>
      <c r="C119" s="1" t="s">
        <v>91</v>
      </c>
      <c r="D119" s="1" t="s">
        <v>9</v>
      </c>
      <c r="E119" s="2">
        <v>42367.457638888889</v>
      </c>
      <c r="F119" s="1" t="s">
        <v>6</v>
      </c>
      <c r="G119" s="1">
        <v>205687</v>
      </c>
      <c r="H119" s="1">
        <v>41</v>
      </c>
      <c r="I119" s="1" t="s">
        <v>82</v>
      </c>
      <c r="J119" s="1">
        <f>+Table2[[#This Row],[Ventas]]/Table2[[#This Row],[Cantidad]]</f>
        <v>5016.7560975609758</v>
      </c>
      <c r="K119" s="1" t="str">
        <f>+_xlfn.IFS(Table2[[#This Row],[Ventas]]&gt;200000,"Alta", Table2[[#This Row],[Ventas]]&gt;100000,"Media",TRUE,"Bajo")</f>
        <v>Alta</v>
      </c>
    </row>
    <row r="120" spans="1:11" x14ac:dyDescent="0.25">
      <c r="A120" s="1" t="s">
        <v>98</v>
      </c>
      <c r="B120" s="1" t="s">
        <v>71</v>
      </c>
      <c r="C120" s="1" t="s">
        <v>88</v>
      </c>
      <c r="D120" s="1" t="s">
        <v>9</v>
      </c>
      <c r="E120" s="2">
        <v>42361.457638888889</v>
      </c>
      <c r="F120" s="1" t="s">
        <v>6</v>
      </c>
      <c r="G120" s="1">
        <v>205729</v>
      </c>
      <c r="H120" s="1">
        <v>28</v>
      </c>
      <c r="I120" s="1" t="s">
        <v>82</v>
      </c>
      <c r="J120" s="1">
        <f>+Table2[[#This Row],[Ventas]]/Table2[[#This Row],[Cantidad]]</f>
        <v>7347.4642857142853</v>
      </c>
      <c r="K120" s="1" t="str">
        <f>+_xlfn.IFS(Table2[[#This Row],[Ventas]]&gt;200000,"Alta", Table2[[#This Row],[Ventas]]&gt;100000,"Media",TRUE,"Bajo")</f>
        <v>Alta</v>
      </c>
    </row>
    <row r="121" spans="1:11" x14ac:dyDescent="0.25">
      <c r="A121" s="1" t="s">
        <v>98</v>
      </c>
      <c r="B121" s="1" t="s">
        <v>121</v>
      </c>
      <c r="C121" s="1" t="s">
        <v>92</v>
      </c>
      <c r="D121" s="1" t="s">
        <v>5</v>
      </c>
      <c r="E121" s="2">
        <v>42368.457638888889</v>
      </c>
      <c r="F121" s="1" t="s">
        <v>6</v>
      </c>
      <c r="G121" s="1">
        <v>245880</v>
      </c>
      <c r="H121" s="1">
        <v>30</v>
      </c>
      <c r="I121" s="1" t="s">
        <v>80</v>
      </c>
      <c r="J121" s="1">
        <f>+Table2[[#This Row],[Ventas]]/Table2[[#This Row],[Cantidad]]</f>
        <v>8196</v>
      </c>
      <c r="K121" s="1" t="str">
        <f>+_xlfn.IFS(Table2[[#This Row],[Ventas]]&gt;200000,"Alta", Table2[[#This Row],[Ventas]]&gt;100000,"Media",TRUE,"Bajo")</f>
        <v>Alta</v>
      </c>
    </row>
    <row r="122" spans="1:11" x14ac:dyDescent="0.25">
      <c r="A122" s="1" t="s">
        <v>98</v>
      </c>
      <c r="B122" s="1" t="s">
        <v>135</v>
      </c>
      <c r="C122" s="1" t="s">
        <v>90</v>
      </c>
      <c r="D122" s="1" t="s">
        <v>9</v>
      </c>
      <c r="E122" s="2">
        <v>42339.457638888889</v>
      </c>
      <c r="F122" s="1" t="s">
        <v>6</v>
      </c>
      <c r="G122" s="1">
        <v>127962</v>
      </c>
      <c r="H122" s="1">
        <v>23</v>
      </c>
      <c r="I122" s="1" t="s">
        <v>80</v>
      </c>
      <c r="J122" s="1">
        <f>+Table2[[#This Row],[Ventas]]/Table2[[#This Row],[Cantidad]]</f>
        <v>5563.565217391304</v>
      </c>
      <c r="K122" s="1" t="str">
        <f>+_xlfn.IFS(Table2[[#This Row],[Ventas]]&gt;200000,"Alta", Table2[[#This Row],[Ventas]]&gt;100000,"Media",TRUE,"Bajo")</f>
        <v>Media</v>
      </c>
    </row>
    <row r="123" spans="1:11" x14ac:dyDescent="0.25">
      <c r="A123" s="1" t="s">
        <v>98</v>
      </c>
      <c r="B123" s="1" t="s">
        <v>121</v>
      </c>
      <c r="C123" s="1" t="s">
        <v>92</v>
      </c>
      <c r="D123" s="1" t="s">
        <v>5</v>
      </c>
      <c r="E123" s="2">
        <v>42368.457638888889</v>
      </c>
      <c r="F123" s="1" t="s">
        <v>6</v>
      </c>
      <c r="G123" s="1">
        <v>167037</v>
      </c>
      <c r="H123" s="1">
        <v>20</v>
      </c>
      <c r="I123" s="1" t="s">
        <v>80</v>
      </c>
      <c r="J123" s="1">
        <f>+Table2[[#This Row],[Ventas]]/Table2[[#This Row],[Cantidad]]</f>
        <v>8351.85</v>
      </c>
      <c r="K123" s="1" t="str">
        <f>+_xlfn.IFS(Table2[[#This Row],[Ventas]]&gt;200000,"Alta", Table2[[#This Row],[Ventas]]&gt;100000,"Media",TRUE,"Bajo")</f>
        <v>Media</v>
      </c>
    </row>
    <row r="124" spans="1:11" x14ac:dyDescent="0.25">
      <c r="A124" s="1" t="s">
        <v>98</v>
      </c>
      <c r="B124" s="1" t="s">
        <v>136</v>
      </c>
      <c r="C124" s="1" t="s">
        <v>87</v>
      </c>
      <c r="D124" s="1" t="s">
        <v>9</v>
      </c>
      <c r="E124" s="2">
        <v>42369.457638888889</v>
      </c>
      <c r="F124" s="1" t="s">
        <v>7</v>
      </c>
      <c r="G124" s="1">
        <v>184766</v>
      </c>
      <c r="H124" s="1">
        <v>31</v>
      </c>
      <c r="I124" s="1" t="s">
        <v>81</v>
      </c>
      <c r="J124" s="1">
        <f>+Table2[[#This Row],[Ventas]]/Table2[[#This Row],[Cantidad]]</f>
        <v>5960.1935483870966</v>
      </c>
      <c r="K124" s="1" t="str">
        <f>+_xlfn.IFS(Table2[[#This Row],[Ventas]]&gt;200000,"Alta", Table2[[#This Row],[Ventas]]&gt;100000,"Media",TRUE,"Bajo")</f>
        <v>Media</v>
      </c>
    </row>
    <row r="125" spans="1:11" x14ac:dyDescent="0.25">
      <c r="A125" s="1" t="s">
        <v>98</v>
      </c>
      <c r="B125" s="1" t="s">
        <v>136</v>
      </c>
      <c r="C125" s="1" t="s">
        <v>87</v>
      </c>
      <c r="D125" s="1" t="s">
        <v>9</v>
      </c>
      <c r="E125" s="2">
        <v>42369.457638888889</v>
      </c>
      <c r="F125" s="1" t="s">
        <v>7</v>
      </c>
      <c r="G125" s="1">
        <v>162092</v>
      </c>
      <c r="H125" s="1">
        <v>37</v>
      </c>
      <c r="I125" s="1" t="s">
        <v>79</v>
      </c>
      <c r="J125" s="1">
        <f>+Table2[[#This Row],[Ventas]]/Table2[[#This Row],[Cantidad]]</f>
        <v>4380.864864864865</v>
      </c>
      <c r="K125" s="1" t="str">
        <f>+_xlfn.IFS(Table2[[#This Row],[Ventas]]&gt;200000,"Alta", Table2[[#This Row],[Ventas]]&gt;100000,"Media",TRUE,"Bajo")</f>
        <v>Media</v>
      </c>
    </row>
    <row r="126" spans="1:11" x14ac:dyDescent="0.25">
      <c r="A126" s="1" t="s">
        <v>98</v>
      </c>
      <c r="B126" s="1" t="s">
        <v>37</v>
      </c>
      <c r="C126" s="1" t="s">
        <v>89</v>
      </c>
      <c r="D126" s="1" t="s">
        <v>9</v>
      </c>
      <c r="E126" s="2">
        <v>42339.457638888889</v>
      </c>
      <c r="F126" s="1" t="s">
        <v>6</v>
      </c>
      <c r="G126" s="1">
        <v>234372</v>
      </c>
      <c r="H126" s="1">
        <v>28</v>
      </c>
      <c r="I126" s="1" t="s">
        <v>79</v>
      </c>
      <c r="J126" s="1">
        <f>+Table2[[#This Row],[Ventas]]/Table2[[#This Row],[Cantidad]]</f>
        <v>8370.4285714285706</v>
      </c>
      <c r="K126" s="1" t="str">
        <f>+_xlfn.IFS(Table2[[#This Row],[Ventas]]&gt;200000,"Alta", Table2[[#This Row],[Ventas]]&gt;100000,"Media",TRUE,"Bajo")</f>
        <v>Alta</v>
      </c>
    </row>
    <row r="127" spans="1:11" x14ac:dyDescent="0.25">
      <c r="A127" s="1" t="s">
        <v>99</v>
      </c>
      <c r="B127" s="1" t="s">
        <v>149</v>
      </c>
      <c r="C127" s="1" t="s">
        <v>91</v>
      </c>
      <c r="D127" s="1" t="s">
        <v>9</v>
      </c>
      <c r="E127" s="2">
        <v>42353.457638888889</v>
      </c>
      <c r="F127" s="1" t="s">
        <v>6</v>
      </c>
      <c r="G127" s="1">
        <v>67864</v>
      </c>
      <c r="H127" s="1">
        <v>41</v>
      </c>
      <c r="I127" s="1" t="s">
        <v>80</v>
      </c>
      <c r="J127" s="1">
        <f>+Table2[[#This Row],[Ventas]]/Table2[[#This Row],[Cantidad]]</f>
        <v>1655.219512195122</v>
      </c>
      <c r="K127" s="1" t="str">
        <f>+_xlfn.IFS(Table2[[#This Row],[Ventas]]&gt;200000,"Alta", Table2[[#This Row],[Ventas]]&gt;100000,"Media",TRUE,"Bajo")</f>
        <v>Bajo</v>
      </c>
    </row>
    <row r="128" spans="1:11" x14ac:dyDescent="0.25">
      <c r="A128" s="1" t="s">
        <v>99</v>
      </c>
      <c r="B128" s="1" t="s">
        <v>37</v>
      </c>
      <c r="C128" s="1" t="s">
        <v>90</v>
      </c>
      <c r="D128" s="1" t="s">
        <v>9</v>
      </c>
      <c r="E128" s="2">
        <v>42339.457638888889</v>
      </c>
      <c r="F128" s="1" t="s">
        <v>6</v>
      </c>
      <c r="G128" s="1">
        <v>152749</v>
      </c>
      <c r="H128" s="1">
        <v>25</v>
      </c>
      <c r="I128" s="1" t="s">
        <v>82</v>
      </c>
      <c r="J128" s="1">
        <f>+Table2[[#This Row],[Ventas]]/Table2[[#This Row],[Cantidad]]</f>
        <v>6109.96</v>
      </c>
      <c r="K128" s="1" t="str">
        <f>+_xlfn.IFS(Table2[[#This Row],[Ventas]]&gt;200000,"Alta", Table2[[#This Row],[Ventas]]&gt;100000,"Media",TRUE,"Bajo")</f>
        <v>Media</v>
      </c>
    </row>
    <row r="129" spans="1:11" x14ac:dyDescent="0.25">
      <c r="A129" s="1" t="s">
        <v>99</v>
      </c>
      <c r="B129" s="1" t="s">
        <v>135</v>
      </c>
      <c r="C129" s="1" t="s">
        <v>90</v>
      </c>
      <c r="D129" s="1" t="s">
        <v>9</v>
      </c>
      <c r="E129" s="2">
        <v>42339.457638888889</v>
      </c>
      <c r="F129" s="1" t="s">
        <v>6</v>
      </c>
      <c r="G129" s="1">
        <v>127024</v>
      </c>
      <c r="H129" s="1">
        <v>39</v>
      </c>
      <c r="I129" s="1" t="s">
        <v>80</v>
      </c>
      <c r="J129" s="1">
        <f>+Table2[[#This Row],[Ventas]]/Table2[[#This Row],[Cantidad]]</f>
        <v>3257.0256410256411</v>
      </c>
      <c r="K129" s="1" t="str">
        <f>+_xlfn.IFS(Table2[[#This Row],[Ventas]]&gt;200000,"Alta", Table2[[#This Row],[Ventas]]&gt;100000,"Media",TRUE,"Bajo")</f>
        <v>Media</v>
      </c>
    </row>
    <row r="130" spans="1:11" x14ac:dyDescent="0.25">
      <c r="A130" s="1" t="s">
        <v>99</v>
      </c>
      <c r="B130" s="1" t="s">
        <v>135</v>
      </c>
      <c r="C130" s="1" t="s">
        <v>90</v>
      </c>
      <c r="D130" s="1" t="s">
        <v>9</v>
      </c>
      <c r="E130" s="2">
        <v>42339.457638888889</v>
      </c>
      <c r="F130" s="1" t="s">
        <v>6</v>
      </c>
      <c r="G130" s="1">
        <v>122450</v>
      </c>
      <c r="H130" s="1">
        <v>31</v>
      </c>
      <c r="I130" s="1" t="s">
        <v>80</v>
      </c>
      <c r="J130" s="1">
        <f>+Table2[[#This Row],[Ventas]]/Table2[[#This Row],[Cantidad]]</f>
        <v>3950</v>
      </c>
      <c r="K130" s="1" t="str">
        <f>+_xlfn.IFS(Table2[[#This Row],[Ventas]]&gt;200000,"Alta", Table2[[#This Row],[Ventas]]&gt;100000,"Media",TRUE,"Bajo")</f>
        <v>Media</v>
      </c>
    </row>
    <row r="131" spans="1:11" x14ac:dyDescent="0.25">
      <c r="A131" s="1" t="s">
        <v>99</v>
      </c>
      <c r="B131" s="1" t="s">
        <v>38</v>
      </c>
      <c r="C131" s="1" t="s">
        <v>87</v>
      </c>
      <c r="D131" s="1" t="s">
        <v>9</v>
      </c>
      <c r="E131" s="2">
        <v>42359.457638888889</v>
      </c>
      <c r="F131" s="1" t="s">
        <v>7</v>
      </c>
      <c r="G131" s="1">
        <v>200134</v>
      </c>
      <c r="H131" s="1">
        <v>24</v>
      </c>
      <c r="I131" s="1" t="s">
        <v>80</v>
      </c>
      <c r="J131" s="1">
        <f>+Table2[[#This Row],[Ventas]]/Table2[[#This Row],[Cantidad]]</f>
        <v>8338.9166666666661</v>
      </c>
      <c r="K131" s="1" t="str">
        <f>+_xlfn.IFS(Table2[[#This Row],[Ventas]]&gt;200000,"Alta", Table2[[#This Row],[Ventas]]&gt;100000,"Media",TRUE,"Bajo")</f>
        <v>Alta</v>
      </c>
    </row>
    <row r="132" spans="1:11" x14ac:dyDescent="0.25">
      <c r="A132" s="1" t="s">
        <v>99</v>
      </c>
      <c r="B132" s="1" t="s">
        <v>136</v>
      </c>
      <c r="C132" s="1" t="s">
        <v>87</v>
      </c>
      <c r="D132" s="1" t="s">
        <v>9</v>
      </c>
      <c r="E132" s="2">
        <v>42369.457638888889</v>
      </c>
      <c r="F132" s="1" t="s">
        <v>7</v>
      </c>
      <c r="G132" s="1">
        <v>58563</v>
      </c>
      <c r="H132" s="1">
        <v>35</v>
      </c>
      <c r="I132" s="1" t="s">
        <v>81</v>
      </c>
      <c r="J132" s="1">
        <f>+Table2[[#This Row],[Ventas]]/Table2[[#This Row],[Cantidad]]</f>
        <v>1673.2285714285715</v>
      </c>
      <c r="K132" s="1" t="str">
        <f>+_xlfn.IFS(Table2[[#This Row],[Ventas]]&gt;200000,"Alta", Table2[[#This Row],[Ventas]]&gt;100000,"Media",TRUE,"Bajo")</f>
        <v>Bajo</v>
      </c>
    </row>
    <row r="133" spans="1:11" x14ac:dyDescent="0.25">
      <c r="A133" s="1" t="s">
        <v>99</v>
      </c>
      <c r="B133" s="1" t="s">
        <v>37</v>
      </c>
      <c r="C133" s="1" t="s">
        <v>89</v>
      </c>
      <c r="D133" s="1" t="s">
        <v>9</v>
      </c>
      <c r="E133" s="2">
        <v>42339.457638888889</v>
      </c>
      <c r="F133" s="1" t="s">
        <v>6</v>
      </c>
      <c r="G133" s="1">
        <v>219350</v>
      </c>
      <c r="H133" s="1">
        <v>39</v>
      </c>
      <c r="I133" s="1" t="s">
        <v>79</v>
      </c>
      <c r="J133" s="1">
        <f>+Table2[[#This Row],[Ventas]]/Table2[[#This Row],[Cantidad]]</f>
        <v>5624.3589743589746</v>
      </c>
      <c r="K133" s="1" t="str">
        <f>+_xlfn.IFS(Table2[[#This Row],[Ventas]]&gt;200000,"Alta", Table2[[#This Row],[Ventas]]&gt;100000,"Media",TRUE,"Bajo")</f>
        <v>Alta</v>
      </c>
    </row>
    <row r="134" spans="1:11" x14ac:dyDescent="0.25">
      <c r="A134" s="1" t="s">
        <v>99</v>
      </c>
      <c r="B134" s="1" t="s">
        <v>37</v>
      </c>
      <c r="C134" s="1" t="s">
        <v>90</v>
      </c>
      <c r="D134" s="1" t="s">
        <v>9</v>
      </c>
      <c r="E134" s="2">
        <v>42339.457638888889</v>
      </c>
      <c r="F134" s="1" t="s">
        <v>6</v>
      </c>
      <c r="G134" s="1">
        <v>147048</v>
      </c>
      <c r="H134" s="1">
        <v>35</v>
      </c>
      <c r="I134" s="1" t="s">
        <v>79</v>
      </c>
      <c r="J134" s="1">
        <f>+Table2[[#This Row],[Ventas]]/Table2[[#This Row],[Cantidad]]</f>
        <v>4201.3714285714286</v>
      </c>
      <c r="K134" s="1" t="str">
        <f>+_xlfn.IFS(Table2[[#This Row],[Ventas]]&gt;200000,"Alta", Table2[[#This Row],[Ventas]]&gt;100000,"Media",TRUE,"Bajo")</f>
        <v>Media</v>
      </c>
    </row>
    <row r="135" spans="1:11" x14ac:dyDescent="0.25">
      <c r="A135" s="1" t="s">
        <v>99</v>
      </c>
      <c r="B135" s="1" t="s">
        <v>15</v>
      </c>
      <c r="C135" s="1" t="s">
        <v>92</v>
      </c>
      <c r="D135" s="1" t="s">
        <v>5</v>
      </c>
      <c r="E135" s="2">
        <v>42363.457638888889</v>
      </c>
      <c r="F135" s="1" t="s">
        <v>7</v>
      </c>
      <c r="G135" s="1">
        <v>58680</v>
      </c>
      <c r="H135" s="1">
        <v>19</v>
      </c>
      <c r="I135" s="1" t="s">
        <v>81</v>
      </c>
      <c r="J135" s="1">
        <f>+Table2[[#This Row],[Ventas]]/Table2[[#This Row],[Cantidad]]</f>
        <v>3088.4210526315787</v>
      </c>
      <c r="K135" s="1" t="str">
        <f>+_xlfn.IFS(Table2[[#This Row],[Ventas]]&gt;200000,"Alta", Table2[[#This Row],[Ventas]]&gt;100000,"Media",TRUE,"Bajo")</f>
        <v>Bajo</v>
      </c>
    </row>
    <row r="136" spans="1:11" x14ac:dyDescent="0.25">
      <c r="A136" s="1" t="s">
        <v>99</v>
      </c>
      <c r="B136" s="1" t="s">
        <v>37</v>
      </c>
      <c r="C136" s="1" t="s">
        <v>89</v>
      </c>
      <c r="D136" s="1" t="s">
        <v>9</v>
      </c>
      <c r="E136" s="2">
        <v>42339.457638888889</v>
      </c>
      <c r="F136" s="1" t="s">
        <v>6</v>
      </c>
      <c r="G136" s="1">
        <v>52997</v>
      </c>
      <c r="H136" s="1">
        <v>42</v>
      </c>
      <c r="I136" s="1" t="s">
        <v>80</v>
      </c>
      <c r="J136" s="1">
        <f>+Table2[[#This Row],[Ventas]]/Table2[[#This Row],[Cantidad]]</f>
        <v>1261.8333333333333</v>
      </c>
      <c r="K136" s="1" t="str">
        <f>+_xlfn.IFS(Table2[[#This Row],[Ventas]]&gt;200000,"Alta", Table2[[#This Row],[Ventas]]&gt;100000,"Media",TRUE,"Bajo")</f>
        <v>Bajo</v>
      </c>
    </row>
    <row r="137" spans="1:11" x14ac:dyDescent="0.25">
      <c r="A137" s="1" t="s">
        <v>99</v>
      </c>
      <c r="B137" s="1" t="s">
        <v>37</v>
      </c>
      <c r="C137" s="1" t="s">
        <v>90</v>
      </c>
      <c r="D137" s="1" t="s">
        <v>9</v>
      </c>
      <c r="E137" s="2">
        <v>42339.457638888889</v>
      </c>
      <c r="F137" s="1" t="s">
        <v>6</v>
      </c>
      <c r="G137" s="1">
        <v>137646</v>
      </c>
      <c r="H137" s="1">
        <v>24</v>
      </c>
      <c r="I137" s="1" t="s">
        <v>79</v>
      </c>
      <c r="J137" s="1">
        <f>+Table2[[#This Row],[Ventas]]/Table2[[#This Row],[Cantidad]]</f>
        <v>5735.25</v>
      </c>
      <c r="K137" s="1" t="str">
        <f>+_xlfn.IFS(Table2[[#This Row],[Ventas]]&gt;200000,"Alta", Table2[[#This Row],[Ventas]]&gt;100000,"Media",TRUE,"Bajo")</f>
        <v>Media</v>
      </c>
    </row>
    <row r="138" spans="1:11" x14ac:dyDescent="0.25">
      <c r="A138" s="1" t="s">
        <v>99</v>
      </c>
      <c r="B138" s="1" t="s">
        <v>25</v>
      </c>
      <c r="C138" s="1" t="s">
        <v>87</v>
      </c>
      <c r="D138" s="1" t="s">
        <v>9</v>
      </c>
      <c r="E138" s="2">
        <v>42339.457638888889</v>
      </c>
      <c r="F138" s="1" t="s">
        <v>6</v>
      </c>
      <c r="G138" s="1">
        <v>119235</v>
      </c>
      <c r="H138" s="1">
        <v>18</v>
      </c>
      <c r="I138" s="1" t="s">
        <v>80</v>
      </c>
      <c r="J138" s="1">
        <f>+Table2[[#This Row],[Ventas]]/Table2[[#This Row],[Cantidad]]</f>
        <v>6624.166666666667</v>
      </c>
      <c r="K138" s="1" t="str">
        <f>+_xlfn.IFS(Table2[[#This Row],[Ventas]]&gt;200000,"Alta", Table2[[#This Row],[Ventas]]&gt;100000,"Media",TRUE,"Bajo")</f>
        <v>Media</v>
      </c>
    </row>
    <row r="139" spans="1:11" x14ac:dyDescent="0.25">
      <c r="A139" s="1" t="s">
        <v>99</v>
      </c>
      <c r="B139" s="1" t="s">
        <v>129</v>
      </c>
      <c r="C139" s="1" t="s">
        <v>91</v>
      </c>
      <c r="D139" s="1" t="s">
        <v>9</v>
      </c>
      <c r="E139" s="2">
        <v>42359.457638888889</v>
      </c>
      <c r="F139" s="1" t="s">
        <v>7</v>
      </c>
      <c r="G139" s="1">
        <v>180137</v>
      </c>
      <c r="H139" s="1">
        <v>42</v>
      </c>
      <c r="I139" s="1" t="s">
        <v>80</v>
      </c>
      <c r="J139" s="1">
        <f>+Table2[[#This Row],[Ventas]]/Table2[[#This Row],[Cantidad]]</f>
        <v>4288.9761904761908</v>
      </c>
      <c r="K139" s="1" t="str">
        <f>+_xlfn.IFS(Table2[[#This Row],[Ventas]]&gt;200000,"Alta", Table2[[#This Row],[Ventas]]&gt;100000,"Media",TRUE,"Bajo")</f>
        <v>Media</v>
      </c>
    </row>
    <row r="140" spans="1:11" x14ac:dyDescent="0.25">
      <c r="A140" s="1" t="s">
        <v>99</v>
      </c>
      <c r="B140" s="1" t="s">
        <v>124</v>
      </c>
      <c r="C140" s="1" t="s">
        <v>92</v>
      </c>
      <c r="D140" s="1" t="s">
        <v>5</v>
      </c>
      <c r="E140" s="2">
        <v>42363.457638888889</v>
      </c>
      <c r="F140" s="1" t="s">
        <v>7</v>
      </c>
      <c r="G140" s="1">
        <v>151194</v>
      </c>
      <c r="H140" s="1">
        <v>28</v>
      </c>
      <c r="I140" s="1" t="s">
        <v>79</v>
      </c>
      <c r="J140" s="1">
        <f>+Table2[[#This Row],[Ventas]]/Table2[[#This Row],[Cantidad]]</f>
        <v>5399.7857142857147</v>
      </c>
      <c r="K140" s="1" t="str">
        <f>+_xlfn.IFS(Table2[[#This Row],[Ventas]]&gt;200000,"Alta", Table2[[#This Row],[Ventas]]&gt;100000,"Media",TRUE,"Bajo")</f>
        <v>Media</v>
      </c>
    </row>
    <row r="141" spans="1:11" x14ac:dyDescent="0.25">
      <c r="A141" s="1" t="s">
        <v>99</v>
      </c>
      <c r="B141" s="1" t="s">
        <v>37</v>
      </c>
      <c r="C141" s="1" t="s">
        <v>89</v>
      </c>
      <c r="D141" s="1" t="s">
        <v>9</v>
      </c>
      <c r="E141" s="2">
        <v>42339.457638888889</v>
      </c>
      <c r="F141" s="1" t="s">
        <v>6</v>
      </c>
      <c r="G141" s="1">
        <v>90433</v>
      </c>
      <c r="H141" s="1">
        <v>19</v>
      </c>
      <c r="I141" s="1" t="s">
        <v>79</v>
      </c>
      <c r="J141" s="1">
        <f>+Table2[[#This Row],[Ventas]]/Table2[[#This Row],[Cantidad]]</f>
        <v>4759.6315789473683</v>
      </c>
      <c r="K141" s="1" t="str">
        <f>+_xlfn.IFS(Table2[[#This Row],[Ventas]]&gt;200000,"Alta", Table2[[#This Row],[Ventas]]&gt;100000,"Media",TRUE,"Bajo")</f>
        <v>Bajo</v>
      </c>
    </row>
    <row r="142" spans="1:11" x14ac:dyDescent="0.25">
      <c r="A142" s="1" t="s">
        <v>100</v>
      </c>
      <c r="B142" s="1" t="s">
        <v>141</v>
      </c>
      <c r="C142" s="1" t="s">
        <v>84</v>
      </c>
      <c r="D142" s="1" t="s">
        <v>5</v>
      </c>
      <c r="E142" s="2">
        <v>42369.457638888889</v>
      </c>
      <c r="F142" s="1" t="s">
        <v>6</v>
      </c>
      <c r="G142" s="1">
        <v>130695</v>
      </c>
      <c r="H142" s="1">
        <v>28</v>
      </c>
      <c r="I142" s="1" t="s">
        <v>93</v>
      </c>
      <c r="J142" s="1">
        <f>+Table2[[#This Row],[Ventas]]/Table2[[#This Row],[Cantidad]]</f>
        <v>4667.6785714285716</v>
      </c>
      <c r="K142" s="1" t="str">
        <f>+_xlfn.IFS(Table2[[#This Row],[Ventas]]&gt;200000,"Alta", Table2[[#This Row],[Ventas]]&gt;100000,"Media",TRUE,"Bajo")</f>
        <v>Media</v>
      </c>
    </row>
    <row r="143" spans="1:11" x14ac:dyDescent="0.25">
      <c r="A143" s="1" t="s">
        <v>100</v>
      </c>
      <c r="B143" s="1" t="s">
        <v>37</v>
      </c>
      <c r="C143" s="1" t="s">
        <v>89</v>
      </c>
      <c r="D143" s="1" t="s">
        <v>9</v>
      </c>
      <c r="E143" s="2">
        <v>42339.457638888889</v>
      </c>
      <c r="F143" s="1" t="s">
        <v>6</v>
      </c>
      <c r="G143" s="1">
        <v>59570</v>
      </c>
      <c r="H143" s="1">
        <v>32</v>
      </c>
      <c r="I143" s="1" t="s">
        <v>79</v>
      </c>
      <c r="J143" s="1">
        <f>+Table2[[#This Row],[Ventas]]/Table2[[#This Row],[Cantidad]]</f>
        <v>1861.5625</v>
      </c>
      <c r="K143" s="1" t="str">
        <f>+_xlfn.IFS(Table2[[#This Row],[Ventas]]&gt;200000,"Alta", Table2[[#This Row],[Ventas]]&gt;100000,"Media",TRUE,"Bajo")</f>
        <v>Bajo</v>
      </c>
    </row>
    <row r="144" spans="1:11" x14ac:dyDescent="0.25">
      <c r="A144" s="1" t="s">
        <v>100</v>
      </c>
      <c r="B144" s="1" t="s">
        <v>138</v>
      </c>
      <c r="C144" s="1" t="s">
        <v>92</v>
      </c>
      <c r="D144" s="1" t="s">
        <v>5</v>
      </c>
      <c r="E144" s="2">
        <v>42369.457638888889</v>
      </c>
      <c r="F144" s="1" t="s">
        <v>6</v>
      </c>
      <c r="G144" s="1">
        <v>205191</v>
      </c>
      <c r="H144" s="1">
        <v>23</v>
      </c>
      <c r="I144" s="1" t="s">
        <v>79</v>
      </c>
      <c r="J144" s="1">
        <f>+Table2[[#This Row],[Ventas]]/Table2[[#This Row],[Cantidad]]</f>
        <v>8921.347826086956</v>
      </c>
      <c r="K144" s="1" t="str">
        <f>+_xlfn.IFS(Table2[[#This Row],[Ventas]]&gt;200000,"Alta", Table2[[#This Row],[Ventas]]&gt;100000,"Media",TRUE,"Bajo")</f>
        <v>Alta</v>
      </c>
    </row>
    <row r="145" spans="1:11" x14ac:dyDescent="0.25">
      <c r="A145" s="1" t="s">
        <v>100</v>
      </c>
      <c r="B145" s="1" t="s">
        <v>15</v>
      </c>
      <c r="C145" s="1" t="s">
        <v>92</v>
      </c>
      <c r="D145" s="1" t="s">
        <v>5</v>
      </c>
      <c r="E145" s="2">
        <v>42363.457638888889</v>
      </c>
      <c r="F145" s="1" t="s">
        <v>7</v>
      </c>
      <c r="G145" s="1">
        <v>185827</v>
      </c>
      <c r="H145" s="1">
        <v>30</v>
      </c>
      <c r="I145" s="1" t="s">
        <v>81</v>
      </c>
      <c r="J145" s="1">
        <f>+Table2[[#This Row],[Ventas]]/Table2[[#This Row],[Cantidad]]</f>
        <v>6194.2333333333336</v>
      </c>
      <c r="K145" s="1" t="str">
        <f>+_xlfn.IFS(Table2[[#This Row],[Ventas]]&gt;200000,"Alta", Table2[[#This Row],[Ventas]]&gt;100000,"Media",TRUE,"Bajo")</f>
        <v>Media</v>
      </c>
    </row>
    <row r="146" spans="1:11" x14ac:dyDescent="0.25">
      <c r="A146" s="1" t="s">
        <v>100</v>
      </c>
      <c r="B146" s="1" t="s">
        <v>136</v>
      </c>
      <c r="C146" s="1" t="s">
        <v>87</v>
      </c>
      <c r="D146" s="1" t="s">
        <v>9</v>
      </c>
      <c r="E146" s="2">
        <v>42369.457638888889</v>
      </c>
      <c r="F146" s="1" t="s">
        <v>7</v>
      </c>
      <c r="G146" s="1">
        <v>195136</v>
      </c>
      <c r="H146" s="1">
        <v>37</v>
      </c>
      <c r="I146" s="1" t="s">
        <v>80</v>
      </c>
      <c r="J146" s="1">
        <f>+Table2[[#This Row],[Ventas]]/Table2[[#This Row],[Cantidad]]</f>
        <v>5273.9459459459458</v>
      </c>
      <c r="K146" s="1" t="str">
        <f>+_xlfn.IFS(Table2[[#This Row],[Ventas]]&gt;200000,"Alta", Table2[[#This Row],[Ventas]]&gt;100000,"Media",TRUE,"Bajo")</f>
        <v>Media</v>
      </c>
    </row>
    <row r="147" spans="1:11" x14ac:dyDescent="0.25">
      <c r="A147" s="1" t="s">
        <v>100</v>
      </c>
      <c r="B147" s="1" t="s">
        <v>135</v>
      </c>
      <c r="C147" s="1" t="s">
        <v>90</v>
      </c>
      <c r="D147" s="1" t="s">
        <v>9</v>
      </c>
      <c r="E147" s="2">
        <v>42339.457638888889</v>
      </c>
      <c r="F147" s="1" t="s">
        <v>6</v>
      </c>
      <c r="G147" s="1">
        <v>156943</v>
      </c>
      <c r="H147" s="1">
        <v>39</v>
      </c>
      <c r="I147" s="1" t="s">
        <v>80</v>
      </c>
      <c r="J147" s="1">
        <f>+Table2[[#This Row],[Ventas]]/Table2[[#This Row],[Cantidad]]</f>
        <v>4024.1794871794873</v>
      </c>
      <c r="K147" s="1" t="str">
        <f>+_xlfn.IFS(Table2[[#This Row],[Ventas]]&gt;200000,"Alta", Table2[[#This Row],[Ventas]]&gt;100000,"Media",TRUE,"Bajo")</f>
        <v>Media</v>
      </c>
    </row>
    <row r="148" spans="1:11" x14ac:dyDescent="0.25">
      <c r="A148" s="1" t="s">
        <v>100</v>
      </c>
      <c r="B148" s="1" t="s">
        <v>16</v>
      </c>
      <c r="C148" s="1" t="s">
        <v>92</v>
      </c>
      <c r="D148" s="1" t="s">
        <v>5</v>
      </c>
      <c r="E148" s="2">
        <v>42369.457638888889</v>
      </c>
      <c r="F148" s="1" t="s">
        <v>6</v>
      </c>
      <c r="G148" s="1">
        <v>117907</v>
      </c>
      <c r="H148" s="1">
        <v>22</v>
      </c>
      <c r="I148" s="1" t="s">
        <v>81</v>
      </c>
      <c r="J148" s="1">
        <f>+Table2[[#This Row],[Ventas]]/Table2[[#This Row],[Cantidad]]</f>
        <v>5359.409090909091</v>
      </c>
      <c r="K148" s="1" t="str">
        <f>+_xlfn.IFS(Table2[[#This Row],[Ventas]]&gt;200000,"Alta", Table2[[#This Row],[Ventas]]&gt;100000,"Media",TRUE,"Bajo")</f>
        <v>Media</v>
      </c>
    </row>
    <row r="149" spans="1:11" x14ac:dyDescent="0.25">
      <c r="A149" s="1" t="s">
        <v>100</v>
      </c>
      <c r="B149" s="1" t="s">
        <v>37</v>
      </c>
      <c r="C149" s="1" t="s">
        <v>89</v>
      </c>
      <c r="D149" s="1" t="s">
        <v>9</v>
      </c>
      <c r="E149" s="2">
        <v>42339.457638888889</v>
      </c>
      <c r="F149" s="1" t="s">
        <v>6</v>
      </c>
      <c r="G149" s="1">
        <v>75131</v>
      </c>
      <c r="H149" s="1">
        <v>20</v>
      </c>
      <c r="I149" s="1" t="s">
        <v>79</v>
      </c>
      <c r="J149" s="1">
        <f>+Table2[[#This Row],[Ventas]]/Table2[[#This Row],[Cantidad]]</f>
        <v>3756.55</v>
      </c>
      <c r="K149" s="1" t="str">
        <f>+_xlfn.IFS(Table2[[#This Row],[Ventas]]&gt;200000,"Alta", Table2[[#This Row],[Ventas]]&gt;100000,"Media",TRUE,"Bajo")</f>
        <v>Bajo</v>
      </c>
    </row>
    <row r="150" spans="1:11" x14ac:dyDescent="0.25">
      <c r="A150" s="1" t="s">
        <v>100</v>
      </c>
      <c r="B150" s="1" t="s">
        <v>135</v>
      </c>
      <c r="C150" s="1" t="s">
        <v>90</v>
      </c>
      <c r="D150" s="1" t="s">
        <v>9</v>
      </c>
      <c r="E150" s="2">
        <v>42339.457638888889</v>
      </c>
      <c r="F150" s="1" t="s">
        <v>6</v>
      </c>
      <c r="G150" s="1">
        <v>167729</v>
      </c>
      <c r="H150" s="1">
        <v>38</v>
      </c>
      <c r="I150" s="1" t="s">
        <v>80</v>
      </c>
      <c r="J150" s="1">
        <f>+Table2[[#This Row],[Ventas]]/Table2[[#This Row],[Cantidad]]</f>
        <v>4413.9210526315792</v>
      </c>
      <c r="K150" s="1" t="str">
        <f>+_xlfn.IFS(Table2[[#This Row],[Ventas]]&gt;200000,"Alta", Table2[[#This Row],[Ventas]]&gt;100000,"Media",TRUE,"Bajo")</f>
        <v>Media</v>
      </c>
    </row>
    <row r="151" spans="1:11" x14ac:dyDescent="0.25">
      <c r="A151" s="1" t="s">
        <v>100</v>
      </c>
      <c r="B151" s="1" t="s">
        <v>37</v>
      </c>
      <c r="C151" s="1" t="s">
        <v>89</v>
      </c>
      <c r="D151" s="1" t="s">
        <v>9</v>
      </c>
      <c r="E151" s="2">
        <v>42339.457638888889</v>
      </c>
      <c r="F151" s="1" t="s">
        <v>6</v>
      </c>
      <c r="G151" s="1">
        <v>113856</v>
      </c>
      <c r="H151" s="1">
        <v>20</v>
      </c>
      <c r="I151" s="1" t="s">
        <v>79</v>
      </c>
      <c r="J151" s="1">
        <f>+Table2[[#This Row],[Ventas]]/Table2[[#This Row],[Cantidad]]</f>
        <v>5692.8</v>
      </c>
      <c r="K151" s="1" t="str">
        <f>+_xlfn.IFS(Table2[[#This Row],[Ventas]]&gt;200000,"Alta", Table2[[#This Row],[Ventas]]&gt;100000,"Media",TRUE,"Bajo")</f>
        <v>Media</v>
      </c>
    </row>
    <row r="152" spans="1:11" x14ac:dyDescent="0.25">
      <c r="A152" s="1" t="s">
        <v>100</v>
      </c>
      <c r="B152" s="1" t="s">
        <v>37</v>
      </c>
      <c r="C152" s="1" t="s">
        <v>89</v>
      </c>
      <c r="D152" s="1" t="s">
        <v>9</v>
      </c>
      <c r="E152" s="2">
        <v>42339.457638888889</v>
      </c>
      <c r="F152" s="1" t="s">
        <v>6</v>
      </c>
      <c r="G152" s="1">
        <v>133544</v>
      </c>
      <c r="H152" s="1">
        <v>24</v>
      </c>
      <c r="I152" s="1" t="s">
        <v>79</v>
      </c>
      <c r="J152" s="1">
        <f>+Table2[[#This Row],[Ventas]]/Table2[[#This Row],[Cantidad]]</f>
        <v>5564.333333333333</v>
      </c>
      <c r="K152" s="1" t="str">
        <f>+_xlfn.IFS(Table2[[#This Row],[Ventas]]&gt;200000,"Alta", Table2[[#This Row],[Ventas]]&gt;100000,"Media",TRUE,"Bajo")</f>
        <v>Media</v>
      </c>
    </row>
    <row r="153" spans="1:11" x14ac:dyDescent="0.25">
      <c r="A153" s="1" t="s">
        <v>100</v>
      </c>
      <c r="B153" s="1" t="s">
        <v>37</v>
      </c>
      <c r="C153" s="1" t="s">
        <v>89</v>
      </c>
      <c r="D153" s="1" t="s">
        <v>9</v>
      </c>
      <c r="E153" s="2">
        <v>42339.457638888889</v>
      </c>
      <c r="F153" s="1" t="s">
        <v>6</v>
      </c>
      <c r="G153" s="1">
        <v>135581</v>
      </c>
      <c r="H153" s="1">
        <v>17</v>
      </c>
      <c r="I153" s="1" t="s">
        <v>79</v>
      </c>
      <c r="J153" s="1">
        <f>+Table2[[#This Row],[Ventas]]/Table2[[#This Row],[Cantidad]]</f>
        <v>7975.3529411764703</v>
      </c>
      <c r="K153" s="1" t="str">
        <f>+_xlfn.IFS(Table2[[#This Row],[Ventas]]&gt;200000,"Alta", Table2[[#This Row],[Ventas]]&gt;100000,"Media",TRUE,"Bajo")</f>
        <v>Media</v>
      </c>
    </row>
    <row r="154" spans="1:11" x14ac:dyDescent="0.25">
      <c r="A154" s="1" t="s">
        <v>100</v>
      </c>
      <c r="B154" s="1" t="s">
        <v>121</v>
      </c>
      <c r="C154" s="1" t="s">
        <v>92</v>
      </c>
      <c r="D154" s="1" t="s">
        <v>5</v>
      </c>
      <c r="E154" s="2">
        <v>42369.457638888889</v>
      </c>
      <c r="F154" s="1" t="s">
        <v>6</v>
      </c>
      <c r="G154" s="1">
        <v>190024</v>
      </c>
      <c r="H154" s="1">
        <v>34</v>
      </c>
      <c r="I154" s="1" t="s">
        <v>93</v>
      </c>
      <c r="J154" s="1">
        <f>+Table2[[#This Row],[Ventas]]/Table2[[#This Row],[Cantidad]]</f>
        <v>5588.9411764705883</v>
      </c>
      <c r="K154" s="1" t="str">
        <f>+_xlfn.IFS(Table2[[#This Row],[Ventas]]&gt;200000,"Alta", Table2[[#This Row],[Ventas]]&gt;100000,"Media",TRUE,"Bajo")</f>
        <v>Media</v>
      </c>
    </row>
    <row r="155" spans="1:11" x14ac:dyDescent="0.25">
      <c r="A155" s="1" t="s">
        <v>101</v>
      </c>
      <c r="B155" s="1" t="s">
        <v>71</v>
      </c>
      <c r="C155" s="1" t="s">
        <v>88</v>
      </c>
      <c r="D155" s="1" t="s">
        <v>9</v>
      </c>
      <c r="E155" s="2">
        <v>42361.457638888889</v>
      </c>
      <c r="F155" s="1" t="s">
        <v>6</v>
      </c>
      <c r="G155" s="1">
        <v>220732</v>
      </c>
      <c r="H155" s="1">
        <v>23</v>
      </c>
      <c r="I155" s="1" t="s">
        <v>81</v>
      </c>
      <c r="J155" s="1">
        <f>+Table2[[#This Row],[Ventas]]/Table2[[#This Row],[Cantidad]]</f>
        <v>9597.04347826087</v>
      </c>
      <c r="K155" s="1" t="str">
        <f>+_xlfn.IFS(Table2[[#This Row],[Ventas]]&gt;200000,"Alta", Table2[[#This Row],[Ventas]]&gt;100000,"Media",TRUE,"Bajo")</f>
        <v>Alta</v>
      </c>
    </row>
    <row r="156" spans="1:11" x14ac:dyDescent="0.25">
      <c r="A156" s="1" t="s">
        <v>101</v>
      </c>
      <c r="B156" s="1" t="s">
        <v>146</v>
      </c>
      <c r="C156" s="1" t="s">
        <v>88</v>
      </c>
      <c r="D156" s="1" t="s">
        <v>9</v>
      </c>
      <c r="E156" s="2">
        <v>42361.457638888889</v>
      </c>
      <c r="F156" s="1" t="s">
        <v>7</v>
      </c>
      <c r="G156" s="1">
        <v>245623</v>
      </c>
      <c r="H156" s="1">
        <v>41</v>
      </c>
      <c r="I156" s="1" t="s">
        <v>80</v>
      </c>
      <c r="J156" s="1">
        <f>+Table2[[#This Row],[Ventas]]/Table2[[#This Row],[Cantidad]]</f>
        <v>5990.8048780487807</v>
      </c>
      <c r="K156" s="1" t="str">
        <f>+_xlfn.IFS(Table2[[#This Row],[Ventas]]&gt;200000,"Alta", Table2[[#This Row],[Ventas]]&gt;100000,"Media",TRUE,"Bajo")</f>
        <v>Alta</v>
      </c>
    </row>
    <row r="157" spans="1:11" x14ac:dyDescent="0.25">
      <c r="A157" s="1" t="s">
        <v>101</v>
      </c>
      <c r="B157" s="1" t="s">
        <v>37</v>
      </c>
      <c r="C157" s="1" t="s">
        <v>89</v>
      </c>
      <c r="D157" s="1" t="s">
        <v>9</v>
      </c>
      <c r="E157" s="2">
        <v>42339.457638888889</v>
      </c>
      <c r="F157" s="1" t="s">
        <v>6</v>
      </c>
      <c r="G157" s="1">
        <v>204029</v>
      </c>
      <c r="H157" s="1">
        <v>16</v>
      </c>
      <c r="I157" s="1" t="s">
        <v>81</v>
      </c>
      <c r="J157" s="1">
        <f>+Table2[[#This Row],[Ventas]]/Table2[[#This Row],[Cantidad]]</f>
        <v>12751.8125</v>
      </c>
      <c r="K157" s="1" t="str">
        <f>+_xlfn.IFS(Table2[[#This Row],[Ventas]]&gt;200000,"Alta", Table2[[#This Row],[Ventas]]&gt;100000,"Media",TRUE,"Bajo")</f>
        <v>Alta</v>
      </c>
    </row>
    <row r="158" spans="1:11" x14ac:dyDescent="0.25">
      <c r="A158" s="1" t="s">
        <v>101</v>
      </c>
      <c r="B158" s="1" t="s">
        <v>135</v>
      </c>
      <c r="C158" s="1" t="s">
        <v>90</v>
      </c>
      <c r="D158" s="1" t="s">
        <v>9</v>
      </c>
      <c r="E158" s="2">
        <v>42339.457638888889</v>
      </c>
      <c r="F158" s="1" t="s">
        <v>6</v>
      </c>
      <c r="G158" s="1">
        <v>148290</v>
      </c>
      <c r="H158" s="1">
        <v>38</v>
      </c>
      <c r="I158" s="1" t="s">
        <v>80</v>
      </c>
      <c r="J158" s="1">
        <f>+Table2[[#This Row],[Ventas]]/Table2[[#This Row],[Cantidad]]</f>
        <v>3902.3684210526317</v>
      </c>
      <c r="K158" s="1" t="str">
        <f>+_xlfn.IFS(Table2[[#This Row],[Ventas]]&gt;200000,"Alta", Table2[[#This Row],[Ventas]]&gt;100000,"Media",TRUE,"Bajo")</f>
        <v>Media</v>
      </c>
    </row>
    <row r="159" spans="1:11" x14ac:dyDescent="0.25">
      <c r="A159" s="1" t="s">
        <v>101</v>
      </c>
      <c r="B159" s="1" t="s">
        <v>135</v>
      </c>
      <c r="C159" s="1" t="s">
        <v>90</v>
      </c>
      <c r="D159" s="1" t="s">
        <v>9</v>
      </c>
      <c r="E159" s="2">
        <v>42339.457638888889</v>
      </c>
      <c r="F159" s="1" t="s">
        <v>6</v>
      </c>
      <c r="G159" s="1">
        <v>203682</v>
      </c>
      <c r="H159" s="1">
        <v>35</v>
      </c>
      <c r="I159" s="1" t="s">
        <v>80</v>
      </c>
      <c r="J159" s="1">
        <f>+Table2[[#This Row],[Ventas]]/Table2[[#This Row],[Cantidad]]</f>
        <v>5819.4857142857145</v>
      </c>
      <c r="K159" s="1" t="str">
        <f>+_xlfn.IFS(Table2[[#This Row],[Ventas]]&gt;200000,"Alta", Table2[[#This Row],[Ventas]]&gt;100000,"Media",TRUE,"Bajo")</f>
        <v>Alta</v>
      </c>
    </row>
    <row r="160" spans="1:11" x14ac:dyDescent="0.25">
      <c r="A160" s="1" t="s">
        <v>101</v>
      </c>
      <c r="B160" s="1" t="s">
        <v>16</v>
      </c>
      <c r="C160" s="1" t="s">
        <v>92</v>
      </c>
      <c r="D160" s="1" t="s">
        <v>5</v>
      </c>
      <c r="E160" s="2">
        <v>42369.457638888889</v>
      </c>
      <c r="F160" s="1" t="s">
        <v>6</v>
      </c>
      <c r="G160" s="1">
        <v>188033</v>
      </c>
      <c r="H160" s="1">
        <v>36</v>
      </c>
      <c r="I160" s="1" t="s">
        <v>82</v>
      </c>
      <c r="J160" s="1">
        <f>+Table2[[#This Row],[Ventas]]/Table2[[#This Row],[Cantidad]]</f>
        <v>5223.1388888888887</v>
      </c>
      <c r="K160" s="1" t="str">
        <f>+_xlfn.IFS(Table2[[#This Row],[Ventas]]&gt;200000,"Alta", Table2[[#This Row],[Ventas]]&gt;100000,"Media",TRUE,"Bajo")</f>
        <v>Media</v>
      </c>
    </row>
    <row r="161" spans="1:11" x14ac:dyDescent="0.25">
      <c r="A161" s="1" t="s">
        <v>101</v>
      </c>
      <c r="B161" s="1" t="s">
        <v>42</v>
      </c>
      <c r="C161" s="1" t="s">
        <v>84</v>
      </c>
      <c r="D161" s="1" t="s">
        <v>5</v>
      </c>
      <c r="E161" s="2">
        <v>42369.457638888889</v>
      </c>
      <c r="F161" s="1" t="s">
        <v>7</v>
      </c>
      <c r="G161" s="1">
        <v>67771</v>
      </c>
      <c r="H161" s="1">
        <v>23</v>
      </c>
      <c r="I161" s="1" t="s">
        <v>79</v>
      </c>
      <c r="J161" s="1">
        <f>+Table2[[#This Row],[Ventas]]/Table2[[#This Row],[Cantidad]]</f>
        <v>2946.5652173913045</v>
      </c>
      <c r="K161" s="1" t="str">
        <f>+_xlfn.IFS(Table2[[#This Row],[Ventas]]&gt;200000,"Alta", Table2[[#This Row],[Ventas]]&gt;100000,"Media",TRUE,"Bajo")</f>
        <v>Bajo</v>
      </c>
    </row>
    <row r="162" spans="1:11" x14ac:dyDescent="0.25">
      <c r="A162" s="1" t="s">
        <v>101</v>
      </c>
      <c r="B162" s="1" t="s">
        <v>37</v>
      </c>
      <c r="C162" s="1" t="s">
        <v>89</v>
      </c>
      <c r="D162" s="1" t="s">
        <v>9</v>
      </c>
      <c r="E162" s="2">
        <v>42339.457638888889</v>
      </c>
      <c r="F162" s="1" t="s">
        <v>6</v>
      </c>
      <c r="G162" s="1">
        <v>135986</v>
      </c>
      <c r="H162" s="1">
        <v>33</v>
      </c>
      <c r="I162" s="1" t="s">
        <v>79</v>
      </c>
      <c r="J162" s="1">
        <f>+Table2[[#This Row],[Ventas]]/Table2[[#This Row],[Cantidad]]</f>
        <v>4120.787878787879</v>
      </c>
      <c r="K162" s="1" t="str">
        <f>+_xlfn.IFS(Table2[[#This Row],[Ventas]]&gt;200000,"Alta", Table2[[#This Row],[Ventas]]&gt;100000,"Media",TRUE,"Bajo")</f>
        <v>Media</v>
      </c>
    </row>
    <row r="163" spans="1:11" x14ac:dyDescent="0.25">
      <c r="A163" s="1" t="s">
        <v>101</v>
      </c>
      <c r="B163" s="1" t="s">
        <v>135</v>
      </c>
      <c r="C163" s="1" t="s">
        <v>90</v>
      </c>
      <c r="D163" s="1" t="s">
        <v>9</v>
      </c>
      <c r="E163" s="2">
        <v>42339.457638888889</v>
      </c>
      <c r="F163" s="1" t="s">
        <v>6</v>
      </c>
      <c r="G163" s="1">
        <v>246000</v>
      </c>
      <c r="H163" s="1">
        <v>17</v>
      </c>
      <c r="I163" s="1" t="s">
        <v>80</v>
      </c>
      <c r="J163" s="1">
        <f>+Table2[[#This Row],[Ventas]]/Table2[[#This Row],[Cantidad]]</f>
        <v>14470.588235294117</v>
      </c>
      <c r="K163" s="1" t="str">
        <f>+_xlfn.IFS(Table2[[#This Row],[Ventas]]&gt;200000,"Alta", Table2[[#This Row],[Ventas]]&gt;100000,"Media",TRUE,"Bajo")</f>
        <v>Alta</v>
      </c>
    </row>
    <row r="164" spans="1:11" x14ac:dyDescent="0.25">
      <c r="A164" s="1" t="s">
        <v>101</v>
      </c>
      <c r="B164" s="1" t="s">
        <v>40</v>
      </c>
      <c r="C164" s="1" t="s">
        <v>92</v>
      </c>
      <c r="D164" s="1" t="s">
        <v>5</v>
      </c>
      <c r="E164" s="2">
        <v>42369.457638888889</v>
      </c>
      <c r="F164" s="1" t="s">
        <v>6</v>
      </c>
      <c r="G164" s="1">
        <v>126670</v>
      </c>
      <c r="H164" s="1">
        <v>22</v>
      </c>
      <c r="I164" s="1" t="s">
        <v>93</v>
      </c>
      <c r="J164" s="1">
        <f>+Table2[[#This Row],[Ventas]]/Table2[[#This Row],[Cantidad]]</f>
        <v>5757.727272727273</v>
      </c>
      <c r="K164" s="1" t="str">
        <f>+_xlfn.IFS(Table2[[#This Row],[Ventas]]&gt;200000,"Alta", Table2[[#This Row],[Ventas]]&gt;100000,"Media",TRUE,"Bajo")</f>
        <v>Media</v>
      </c>
    </row>
    <row r="165" spans="1:11" x14ac:dyDescent="0.25">
      <c r="A165" s="1" t="s">
        <v>102</v>
      </c>
      <c r="B165" s="1" t="s">
        <v>25</v>
      </c>
      <c r="C165" s="1" t="s">
        <v>87</v>
      </c>
      <c r="D165" s="1" t="s">
        <v>9</v>
      </c>
      <c r="E165" s="2">
        <v>42339.457638888889</v>
      </c>
      <c r="F165" s="1" t="s">
        <v>6</v>
      </c>
      <c r="G165" s="1">
        <v>211989</v>
      </c>
      <c r="H165" s="1">
        <v>24</v>
      </c>
      <c r="I165" s="1" t="s">
        <v>80</v>
      </c>
      <c r="J165" s="1">
        <f>+Table2[[#This Row],[Ventas]]/Table2[[#This Row],[Cantidad]]</f>
        <v>8832.875</v>
      </c>
      <c r="K165" s="1" t="str">
        <f>+_xlfn.IFS(Table2[[#This Row],[Ventas]]&gt;200000,"Alta", Table2[[#This Row],[Ventas]]&gt;100000,"Media",TRUE,"Bajo")</f>
        <v>Alta</v>
      </c>
    </row>
    <row r="166" spans="1:11" x14ac:dyDescent="0.25">
      <c r="A166" s="1" t="s">
        <v>102</v>
      </c>
      <c r="B166" s="1" t="s">
        <v>37</v>
      </c>
      <c r="C166" s="1" t="s">
        <v>89</v>
      </c>
      <c r="D166" s="1" t="s">
        <v>9</v>
      </c>
      <c r="E166" s="2">
        <v>42339.457638888889</v>
      </c>
      <c r="F166" s="1" t="s">
        <v>6</v>
      </c>
      <c r="G166" s="1">
        <v>195974</v>
      </c>
      <c r="H166" s="1">
        <v>26</v>
      </c>
      <c r="I166" s="1" t="s">
        <v>79</v>
      </c>
      <c r="J166" s="1">
        <f>+Table2[[#This Row],[Ventas]]/Table2[[#This Row],[Cantidad]]</f>
        <v>7537.4615384615381</v>
      </c>
      <c r="K166" s="1" t="str">
        <f>+_xlfn.IFS(Table2[[#This Row],[Ventas]]&gt;200000,"Alta", Table2[[#This Row],[Ventas]]&gt;100000,"Media",TRUE,"Bajo")</f>
        <v>Media</v>
      </c>
    </row>
    <row r="167" spans="1:11" x14ac:dyDescent="0.25">
      <c r="A167" s="1" t="s">
        <v>102</v>
      </c>
      <c r="B167" s="1" t="s">
        <v>37</v>
      </c>
      <c r="C167" s="1" t="s">
        <v>89</v>
      </c>
      <c r="D167" s="1" t="s">
        <v>9</v>
      </c>
      <c r="E167" s="2">
        <v>42339.457638888889</v>
      </c>
      <c r="F167" s="1" t="s">
        <v>6</v>
      </c>
      <c r="G167" s="1">
        <v>80637</v>
      </c>
      <c r="H167" s="1">
        <v>15</v>
      </c>
      <c r="I167" s="1" t="s">
        <v>79</v>
      </c>
      <c r="J167" s="1">
        <f>+Table2[[#This Row],[Ventas]]/Table2[[#This Row],[Cantidad]]</f>
        <v>5375.8</v>
      </c>
      <c r="K167" s="1" t="str">
        <f>+_xlfn.IFS(Table2[[#This Row],[Ventas]]&gt;200000,"Alta", Table2[[#This Row],[Ventas]]&gt;100000,"Media",TRUE,"Bajo")</f>
        <v>Bajo</v>
      </c>
    </row>
    <row r="168" spans="1:11" x14ac:dyDescent="0.25">
      <c r="A168" s="1" t="s">
        <v>102</v>
      </c>
      <c r="B168" s="1" t="s">
        <v>114</v>
      </c>
      <c r="C168" s="1" t="s">
        <v>92</v>
      </c>
      <c r="D168" s="1" t="s">
        <v>5</v>
      </c>
      <c r="E168" s="2">
        <v>42353.457638888889</v>
      </c>
      <c r="F168" s="1" t="s">
        <v>6</v>
      </c>
      <c r="G168" s="1">
        <v>163205</v>
      </c>
      <c r="H168" s="1">
        <v>27</v>
      </c>
      <c r="I168" s="1" t="s">
        <v>79</v>
      </c>
      <c r="J168" s="1">
        <f>+Table2[[#This Row],[Ventas]]/Table2[[#This Row],[Cantidad]]</f>
        <v>6044.6296296296296</v>
      </c>
      <c r="K168" s="1" t="str">
        <f>+_xlfn.IFS(Table2[[#This Row],[Ventas]]&gt;200000,"Alta", Table2[[#This Row],[Ventas]]&gt;100000,"Media",TRUE,"Bajo")</f>
        <v>Media</v>
      </c>
    </row>
    <row r="169" spans="1:11" x14ac:dyDescent="0.25">
      <c r="A169" s="1" t="s">
        <v>102</v>
      </c>
      <c r="B169" s="1" t="s">
        <v>37</v>
      </c>
      <c r="C169" s="1" t="s">
        <v>89</v>
      </c>
      <c r="D169" s="1" t="s">
        <v>9</v>
      </c>
      <c r="E169" s="2">
        <v>42339.457638888889</v>
      </c>
      <c r="F169" s="1" t="s">
        <v>6</v>
      </c>
      <c r="G169" s="1">
        <v>90539</v>
      </c>
      <c r="H169" s="1">
        <v>28</v>
      </c>
      <c r="I169" s="1" t="s">
        <v>79</v>
      </c>
      <c r="J169" s="1">
        <f>+Table2[[#This Row],[Ventas]]/Table2[[#This Row],[Cantidad]]</f>
        <v>3233.5357142857142</v>
      </c>
      <c r="K169" s="1" t="str">
        <f>+_xlfn.IFS(Table2[[#This Row],[Ventas]]&gt;200000,"Alta", Table2[[#This Row],[Ventas]]&gt;100000,"Media",TRUE,"Bajo")</f>
        <v>Bajo</v>
      </c>
    </row>
    <row r="170" spans="1:11" x14ac:dyDescent="0.25">
      <c r="A170" s="1" t="s">
        <v>102</v>
      </c>
      <c r="B170" s="1" t="s">
        <v>37</v>
      </c>
      <c r="C170" s="1" t="s">
        <v>89</v>
      </c>
      <c r="D170" s="1" t="s">
        <v>9</v>
      </c>
      <c r="E170" s="2">
        <v>42339.457638888889</v>
      </c>
      <c r="F170" s="1" t="s">
        <v>6</v>
      </c>
      <c r="G170" s="1">
        <v>56750</v>
      </c>
      <c r="H170" s="1">
        <v>36</v>
      </c>
      <c r="I170" s="1" t="s">
        <v>80</v>
      </c>
      <c r="J170" s="1">
        <f>+Table2[[#This Row],[Ventas]]/Table2[[#This Row],[Cantidad]]</f>
        <v>1576.3888888888889</v>
      </c>
      <c r="K170" s="1" t="str">
        <f>+_xlfn.IFS(Table2[[#This Row],[Ventas]]&gt;200000,"Alta", Table2[[#This Row],[Ventas]]&gt;100000,"Media",TRUE,"Bajo")</f>
        <v>Bajo</v>
      </c>
    </row>
    <row r="171" spans="1:11" x14ac:dyDescent="0.25">
      <c r="A171" s="1" t="s">
        <v>102</v>
      </c>
      <c r="B171" s="1" t="s">
        <v>143</v>
      </c>
      <c r="C171" s="1" t="s">
        <v>92</v>
      </c>
      <c r="D171" s="1" t="s">
        <v>5</v>
      </c>
      <c r="E171" s="2">
        <v>42368.457638888889</v>
      </c>
      <c r="F171" s="1" t="s">
        <v>6</v>
      </c>
      <c r="G171" s="1">
        <v>111493</v>
      </c>
      <c r="H171" s="1">
        <v>22</v>
      </c>
      <c r="I171" s="1" t="s">
        <v>93</v>
      </c>
      <c r="J171" s="1">
        <f>+Table2[[#This Row],[Ventas]]/Table2[[#This Row],[Cantidad]]</f>
        <v>5067.863636363636</v>
      </c>
      <c r="K171" s="1" t="str">
        <f>+_xlfn.IFS(Table2[[#This Row],[Ventas]]&gt;200000,"Alta", Table2[[#This Row],[Ventas]]&gt;100000,"Media",TRUE,"Bajo")</f>
        <v>Media</v>
      </c>
    </row>
    <row r="172" spans="1:11" x14ac:dyDescent="0.25">
      <c r="A172" s="1" t="s">
        <v>102</v>
      </c>
      <c r="B172" s="1" t="s">
        <v>146</v>
      </c>
      <c r="C172" s="1" t="s">
        <v>88</v>
      </c>
      <c r="D172" s="1" t="s">
        <v>9</v>
      </c>
      <c r="E172" s="2">
        <v>42361.457638888889</v>
      </c>
      <c r="F172" s="1" t="s">
        <v>7</v>
      </c>
      <c r="G172" s="1">
        <v>205025</v>
      </c>
      <c r="H172" s="1">
        <v>38</v>
      </c>
      <c r="I172" s="1" t="s">
        <v>82</v>
      </c>
      <c r="J172" s="1">
        <f>+Table2[[#This Row],[Ventas]]/Table2[[#This Row],[Cantidad]]</f>
        <v>5395.394736842105</v>
      </c>
      <c r="K172" s="1" t="str">
        <f>+_xlfn.IFS(Table2[[#This Row],[Ventas]]&gt;200000,"Alta", Table2[[#This Row],[Ventas]]&gt;100000,"Media",TRUE,"Bajo")</f>
        <v>Alta</v>
      </c>
    </row>
    <row r="173" spans="1:11" x14ac:dyDescent="0.25">
      <c r="A173" s="1" t="s">
        <v>102</v>
      </c>
      <c r="B173" s="1" t="s">
        <v>135</v>
      </c>
      <c r="C173" s="1" t="s">
        <v>90</v>
      </c>
      <c r="D173" s="1" t="s">
        <v>9</v>
      </c>
      <c r="E173" s="2">
        <v>42339.457638888889</v>
      </c>
      <c r="F173" s="1" t="s">
        <v>6</v>
      </c>
      <c r="G173" s="1">
        <v>120213</v>
      </c>
      <c r="H173" s="1">
        <v>18</v>
      </c>
      <c r="I173" s="1" t="s">
        <v>80</v>
      </c>
      <c r="J173" s="1">
        <f>+Table2[[#This Row],[Ventas]]/Table2[[#This Row],[Cantidad]]</f>
        <v>6678.5</v>
      </c>
      <c r="K173" s="1" t="str">
        <f>+_xlfn.IFS(Table2[[#This Row],[Ventas]]&gt;200000,"Alta", Table2[[#This Row],[Ventas]]&gt;100000,"Media",TRUE,"Bajo")</f>
        <v>Media</v>
      </c>
    </row>
    <row r="174" spans="1:11" x14ac:dyDescent="0.25">
      <c r="A174" s="1" t="s">
        <v>102</v>
      </c>
      <c r="B174" s="1" t="s">
        <v>114</v>
      </c>
      <c r="C174" s="1" t="s">
        <v>92</v>
      </c>
      <c r="D174" s="1" t="s">
        <v>5</v>
      </c>
      <c r="E174" s="2">
        <v>42369.457638888889</v>
      </c>
      <c r="F174" s="1" t="s">
        <v>6</v>
      </c>
      <c r="G174" s="1">
        <v>125045</v>
      </c>
      <c r="H174" s="1">
        <v>37</v>
      </c>
      <c r="I174" s="1" t="s">
        <v>93</v>
      </c>
      <c r="J174" s="1">
        <f>+Table2[[#This Row],[Ventas]]/Table2[[#This Row],[Cantidad]]</f>
        <v>3379.5945945945946</v>
      </c>
      <c r="K174" s="1" t="str">
        <f>+_xlfn.IFS(Table2[[#This Row],[Ventas]]&gt;200000,"Alta", Table2[[#This Row],[Ventas]]&gt;100000,"Media",TRUE,"Bajo")</f>
        <v>Media</v>
      </c>
    </row>
    <row r="175" spans="1:11" x14ac:dyDescent="0.25">
      <c r="A175" s="1" t="s">
        <v>102</v>
      </c>
      <c r="B175" s="1" t="s">
        <v>37</v>
      </c>
      <c r="C175" s="1" t="s">
        <v>89</v>
      </c>
      <c r="D175" s="1" t="s">
        <v>9</v>
      </c>
      <c r="E175" s="2">
        <v>42339.457638888889</v>
      </c>
      <c r="F175" s="1" t="s">
        <v>6</v>
      </c>
      <c r="G175" s="1">
        <v>215830</v>
      </c>
      <c r="H175" s="1">
        <v>39</v>
      </c>
      <c r="I175" s="1" t="s">
        <v>79</v>
      </c>
      <c r="J175" s="1">
        <f>+Table2[[#This Row],[Ventas]]/Table2[[#This Row],[Cantidad]]</f>
        <v>5534.1025641025644</v>
      </c>
      <c r="K175" s="1" t="str">
        <f>+_xlfn.IFS(Table2[[#This Row],[Ventas]]&gt;200000,"Alta", Table2[[#This Row],[Ventas]]&gt;100000,"Media",TRUE,"Bajo")</f>
        <v>Alta</v>
      </c>
    </row>
    <row r="176" spans="1:11" x14ac:dyDescent="0.25">
      <c r="A176" s="1" t="s">
        <v>102</v>
      </c>
      <c r="B176" s="1" t="s">
        <v>114</v>
      </c>
      <c r="C176" s="1" t="s">
        <v>92</v>
      </c>
      <c r="D176" s="1" t="s">
        <v>5</v>
      </c>
      <c r="E176" s="2">
        <v>42353.457638888889</v>
      </c>
      <c r="F176" s="1" t="s">
        <v>6</v>
      </c>
      <c r="G176" s="1">
        <v>55065</v>
      </c>
      <c r="H176" s="1">
        <v>34</v>
      </c>
      <c r="I176" s="1" t="s">
        <v>80</v>
      </c>
      <c r="J176" s="1">
        <f>+Table2[[#This Row],[Ventas]]/Table2[[#This Row],[Cantidad]]</f>
        <v>1619.5588235294117</v>
      </c>
      <c r="K176" s="1" t="str">
        <f>+_xlfn.IFS(Table2[[#This Row],[Ventas]]&gt;200000,"Alta", Table2[[#This Row],[Ventas]]&gt;100000,"Media",TRUE,"Bajo")</f>
        <v>Bajo</v>
      </c>
    </row>
    <row r="177" spans="1:11" x14ac:dyDescent="0.25">
      <c r="A177" s="1" t="s">
        <v>95</v>
      </c>
      <c r="B177" s="1" t="s">
        <v>124</v>
      </c>
      <c r="C177" s="1" t="s">
        <v>92</v>
      </c>
      <c r="D177" s="1" t="s">
        <v>5</v>
      </c>
      <c r="E177" s="2">
        <v>42429.457638888889</v>
      </c>
      <c r="F177" s="1" t="s">
        <v>6</v>
      </c>
      <c r="G177" s="1">
        <v>60113</v>
      </c>
      <c r="H177" s="1">
        <v>26</v>
      </c>
      <c r="I177" s="1" t="s">
        <v>79</v>
      </c>
      <c r="J177" s="1">
        <f>+Table2[[#This Row],[Ventas]]/Table2[[#This Row],[Cantidad]]</f>
        <v>2312.0384615384614</v>
      </c>
      <c r="K177" s="1" t="str">
        <f>+_xlfn.IFS(Table2[[#This Row],[Ventas]]&gt;200000,"Alta", Table2[[#This Row],[Ventas]]&gt;100000,"Media",TRUE,"Bajo")</f>
        <v>Bajo</v>
      </c>
    </row>
    <row r="178" spans="1:11" x14ac:dyDescent="0.25">
      <c r="A178" s="1" t="s">
        <v>95</v>
      </c>
      <c r="B178" s="1" t="s">
        <v>124</v>
      </c>
      <c r="C178" s="1" t="s">
        <v>92</v>
      </c>
      <c r="D178" s="1" t="s">
        <v>5</v>
      </c>
      <c r="E178" s="2">
        <v>42429.457638888889</v>
      </c>
      <c r="F178" s="1" t="s">
        <v>6</v>
      </c>
      <c r="G178" s="1">
        <v>141100</v>
      </c>
      <c r="H178" s="1">
        <v>16</v>
      </c>
      <c r="I178" s="1" t="s">
        <v>82</v>
      </c>
      <c r="J178" s="1">
        <f>+Table2[[#This Row],[Ventas]]/Table2[[#This Row],[Cantidad]]</f>
        <v>8818.75</v>
      </c>
      <c r="K178" s="1" t="str">
        <f>+_xlfn.IFS(Table2[[#This Row],[Ventas]]&gt;200000,"Alta", Table2[[#This Row],[Ventas]]&gt;100000,"Media",TRUE,"Bajo")</f>
        <v>Media</v>
      </c>
    </row>
    <row r="179" spans="1:11" x14ac:dyDescent="0.25">
      <c r="A179" s="1" t="s">
        <v>95</v>
      </c>
      <c r="B179" s="1" t="s">
        <v>114</v>
      </c>
      <c r="C179" s="1" t="s">
        <v>92</v>
      </c>
      <c r="D179" s="1" t="s">
        <v>5</v>
      </c>
      <c r="E179" s="2">
        <v>42426.457638888889</v>
      </c>
      <c r="F179" s="1" t="s">
        <v>6</v>
      </c>
      <c r="G179" s="1">
        <v>73346</v>
      </c>
      <c r="H179" s="1">
        <v>30</v>
      </c>
      <c r="I179" s="1" t="s">
        <v>82</v>
      </c>
      <c r="J179" s="1">
        <f>+Table2[[#This Row],[Ventas]]/Table2[[#This Row],[Cantidad]]</f>
        <v>2444.8666666666668</v>
      </c>
      <c r="K179" s="1" t="str">
        <f>+_xlfn.IFS(Table2[[#This Row],[Ventas]]&gt;200000,"Alta", Table2[[#This Row],[Ventas]]&gt;100000,"Media",TRUE,"Bajo")</f>
        <v>Bajo</v>
      </c>
    </row>
    <row r="180" spans="1:11" x14ac:dyDescent="0.25">
      <c r="A180" s="1" t="s">
        <v>96</v>
      </c>
      <c r="B180" s="1" t="s">
        <v>21</v>
      </c>
      <c r="C180" s="1" t="s">
        <v>86</v>
      </c>
      <c r="D180" s="1" t="s">
        <v>9</v>
      </c>
      <c r="E180" s="2">
        <v>42401.457638888889</v>
      </c>
      <c r="F180" s="1" t="s">
        <v>6</v>
      </c>
      <c r="G180" s="1">
        <v>198166</v>
      </c>
      <c r="H180" s="1">
        <v>24</v>
      </c>
      <c r="I180" s="1" t="s">
        <v>81</v>
      </c>
      <c r="J180" s="1">
        <f>+Table2[[#This Row],[Ventas]]/Table2[[#This Row],[Cantidad]]</f>
        <v>8256.9166666666661</v>
      </c>
      <c r="K180" s="1" t="str">
        <f>+_xlfn.IFS(Table2[[#This Row],[Ventas]]&gt;200000,"Alta", Table2[[#This Row],[Ventas]]&gt;100000,"Media",TRUE,"Bajo")</f>
        <v>Media</v>
      </c>
    </row>
    <row r="181" spans="1:11" x14ac:dyDescent="0.25">
      <c r="A181" s="1" t="s">
        <v>96</v>
      </c>
      <c r="B181" s="1" t="s">
        <v>120</v>
      </c>
      <c r="C181" s="1" t="s">
        <v>86</v>
      </c>
      <c r="D181" s="1" t="s">
        <v>5</v>
      </c>
      <c r="E181" s="2">
        <v>42426.457638888889</v>
      </c>
      <c r="F181" s="1" t="s">
        <v>6</v>
      </c>
      <c r="G181" s="1">
        <v>82356</v>
      </c>
      <c r="H181" s="1">
        <v>20</v>
      </c>
      <c r="I181" s="1" t="s">
        <v>93</v>
      </c>
      <c r="J181" s="1">
        <f>+Table2[[#This Row],[Ventas]]/Table2[[#This Row],[Cantidad]]</f>
        <v>4117.8</v>
      </c>
      <c r="K181" s="1" t="str">
        <f>+_xlfn.IFS(Table2[[#This Row],[Ventas]]&gt;200000,"Alta", Table2[[#This Row],[Ventas]]&gt;100000,"Media",TRUE,"Bajo")</f>
        <v>Bajo</v>
      </c>
    </row>
    <row r="182" spans="1:11" x14ac:dyDescent="0.25">
      <c r="A182" s="1" t="s">
        <v>96</v>
      </c>
      <c r="B182" s="1" t="s">
        <v>23</v>
      </c>
      <c r="C182" s="1" t="s">
        <v>86</v>
      </c>
      <c r="D182" s="1" t="s">
        <v>5</v>
      </c>
      <c r="E182" s="2">
        <v>42426.457638888889</v>
      </c>
      <c r="F182" s="1" t="s">
        <v>6</v>
      </c>
      <c r="G182" s="1">
        <v>156686</v>
      </c>
      <c r="H182" s="1">
        <v>37</v>
      </c>
      <c r="I182" s="1" t="s">
        <v>93</v>
      </c>
      <c r="J182" s="1">
        <f>+Table2[[#This Row],[Ventas]]/Table2[[#This Row],[Cantidad]]</f>
        <v>4234.7567567567567</v>
      </c>
      <c r="K182" s="1" t="str">
        <f>+_xlfn.IFS(Table2[[#This Row],[Ventas]]&gt;200000,"Alta", Table2[[#This Row],[Ventas]]&gt;100000,"Media",TRUE,"Bajo")</f>
        <v>Media</v>
      </c>
    </row>
    <row r="183" spans="1:11" x14ac:dyDescent="0.25">
      <c r="A183" s="1" t="s">
        <v>96</v>
      </c>
      <c r="B183" s="1" t="s">
        <v>145</v>
      </c>
      <c r="C183" s="1" t="s">
        <v>86</v>
      </c>
      <c r="D183" s="1" t="s">
        <v>5</v>
      </c>
      <c r="E183" s="2">
        <v>42429.457638888889</v>
      </c>
      <c r="F183" s="1" t="s">
        <v>6</v>
      </c>
      <c r="G183" s="1">
        <v>66316</v>
      </c>
      <c r="H183" s="1">
        <v>27</v>
      </c>
      <c r="I183" s="1" t="s">
        <v>82</v>
      </c>
      <c r="J183" s="1">
        <f>+Table2[[#This Row],[Ventas]]/Table2[[#This Row],[Cantidad]]</f>
        <v>2456.1481481481483</v>
      </c>
      <c r="K183" s="1" t="str">
        <f>+_xlfn.IFS(Table2[[#This Row],[Ventas]]&gt;200000,"Alta", Table2[[#This Row],[Ventas]]&gt;100000,"Media",TRUE,"Bajo")</f>
        <v>Bajo</v>
      </c>
    </row>
    <row r="184" spans="1:11" x14ac:dyDescent="0.25">
      <c r="A184" s="1" t="s">
        <v>97</v>
      </c>
      <c r="B184" s="1" t="s">
        <v>114</v>
      </c>
      <c r="C184" s="1" t="s">
        <v>92</v>
      </c>
      <c r="D184" s="1" t="s">
        <v>5</v>
      </c>
      <c r="E184" s="2">
        <v>42418.457638888889</v>
      </c>
      <c r="F184" s="1" t="s">
        <v>6</v>
      </c>
      <c r="G184" s="1">
        <v>228162</v>
      </c>
      <c r="H184" s="1">
        <v>38</v>
      </c>
      <c r="I184" s="1" t="s">
        <v>80</v>
      </c>
      <c r="J184" s="1">
        <f>+Table2[[#This Row],[Ventas]]/Table2[[#This Row],[Cantidad]]</f>
        <v>6004.2631578947367</v>
      </c>
      <c r="K184" s="1" t="str">
        <f>+_xlfn.IFS(Table2[[#This Row],[Ventas]]&gt;200000,"Alta", Table2[[#This Row],[Ventas]]&gt;100000,"Media",TRUE,"Bajo")</f>
        <v>Alta</v>
      </c>
    </row>
    <row r="185" spans="1:11" x14ac:dyDescent="0.25">
      <c r="A185" s="1" t="s">
        <v>97</v>
      </c>
      <c r="B185" s="1" t="s">
        <v>114</v>
      </c>
      <c r="C185" s="1" t="s">
        <v>92</v>
      </c>
      <c r="D185" s="1" t="s">
        <v>5</v>
      </c>
      <c r="E185" s="2">
        <v>42426.457638888889</v>
      </c>
      <c r="F185" s="1" t="s">
        <v>6</v>
      </c>
      <c r="G185" s="1">
        <v>123163</v>
      </c>
      <c r="H185" s="1">
        <v>18</v>
      </c>
      <c r="I185" s="1" t="s">
        <v>80</v>
      </c>
      <c r="J185" s="1">
        <f>+Table2[[#This Row],[Ventas]]/Table2[[#This Row],[Cantidad]]</f>
        <v>6842.3888888888887</v>
      </c>
      <c r="K185" s="1" t="str">
        <f>+_xlfn.IFS(Table2[[#This Row],[Ventas]]&gt;200000,"Alta", Table2[[#This Row],[Ventas]]&gt;100000,"Media",TRUE,"Bajo")</f>
        <v>Media</v>
      </c>
    </row>
    <row r="186" spans="1:11" x14ac:dyDescent="0.25">
      <c r="A186" s="1" t="s">
        <v>97</v>
      </c>
      <c r="B186" s="1" t="s">
        <v>21</v>
      </c>
      <c r="C186" s="1" t="s">
        <v>86</v>
      </c>
      <c r="D186" s="1" t="s">
        <v>9</v>
      </c>
      <c r="E186" s="2">
        <v>42401.457638888889</v>
      </c>
      <c r="F186" s="1" t="s">
        <v>6</v>
      </c>
      <c r="G186" s="1">
        <v>109319</v>
      </c>
      <c r="H186" s="1">
        <v>36</v>
      </c>
      <c r="I186" s="1" t="s">
        <v>81</v>
      </c>
      <c r="J186" s="1">
        <f>+Table2[[#This Row],[Ventas]]/Table2[[#This Row],[Cantidad]]</f>
        <v>3036.6388888888887</v>
      </c>
      <c r="K186" s="1" t="str">
        <f>+_xlfn.IFS(Table2[[#This Row],[Ventas]]&gt;200000,"Alta", Table2[[#This Row],[Ventas]]&gt;100000,"Media",TRUE,"Bajo")</f>
        <v>Media</v>
      </c>
    </row>
    <row r="187" spans="1:11" x14ac:dyDescent="0.25">
      <c r="A187" s="1" t="s">
        <v>97</v>
      </c>
      <c r="B187" s="1" t="s">
        <v>124</v>
      </c>
      <c r="C187" s="1" t="s">
        <v>92</v>
      </c>
      <c r="D187" s="1" t="s">
        <v>5</v>
      </c>
      <c r="E187" s="2">
        <v>42429.457638888889</v>
      </c>
      <c r="F187" s="1" t="s">
        <v>6</v>
      </c>
      <c r="G187" s="1">
        <v>90697</v>
      </c>
      <c r="H187" s="1">
        <v>30</v>
      </c>
      <c r="I187" s="1" t="s">
        <v>80</v>
      </c>
      <c r="J187" s="1">
        <f>+Table2[[#This Row],[Ventas]]/Table2[[#This Row],[Cantidad]]</f>
        <v>3023.2333333333331</v>
      </c>
      <c r="K187" s="1" t="str">
        <f>+_xlfn.IFS(Table2[[#This Row],[Ventas]]&gt;200000,"Alta", Table2[[#This Row],[Ventas]]&gt;100000,"Media",TRUE,"Bajo")</f>
        <v>Bajo</v>
      </c>
    </row>
    <row r="188" spans="1:11" x14ac:dyDescent="0.25">
      <c r="A188" s="1" t="s">
        <v>97</v>
      </c>
      <c r="B188" s="1" t="s">
        <v>21</v>
      </c>
      <c r="C188" s="1" t="s">
        <v>86</v>
      </c>
      <c r="D188" s="1" t="s">
        <v>9</v>
      </c>
      <c r="E188" s="2">
        <v>42401.457638888889</v>
      </c>
      <c r="F188" s="1" t="s">
        <v>6</v>
      </c>
      <c r="G188" s="1">
        <v>126899</v>
      </c>
      <c r="H188" s="1">
        <v>21</v>
      </c>
      <c r="I188" s="1" t="s">
        <v>81</v>
      </c>
      <c r="J188" s="1">
        <f>+Table2[[#This Row],[Ventas]]/Table2[[#This Row],[Cantidad]]</f>
        <v>6042.8095238095239</v>
      </c>
      <c r="K188" s="1" t="str">
        <f>+_xlfn.IFS(Table2[[#This Row],[Ventas]]&gt;200000,"Alta", Table2[[#This Row],[Ventas]]&gt;100000,"Media",TRUE,"Bajo")</f>
        <v>Media</v>
      </c>
    </row>
    <row r="189" spans="1:11" x14ac:dyDescent="0.25">
      <c r="A189" s="1" t="s">
        <v>97</v>
      </c>
      <c r="B189" s="1" t="s">
        <v>21</v>
      </c>
      <c r="C189" s="1" t="s">
        <v>86</v>
      </c>
      <c r="D189" s="1" t="s">
        <v>9</v>
      </c>
      <c r="E189" s="2">
        <v>42401.457638888889</v>
      </c>
      <c r="F189" s="1" t="s">
        <v>6</v>
      </c>
      <c r="G189" s="1">
        <v>190190</v>
      </c>
      <c r="H189" s="1">
        <v>21</v>
      </c>
      <c r="I189" s="1" t="s">
        <v>79</v>
      </c>
      <c r="J189" s="1">
        <f>+Table2[[#This Row],[Ventas]]/Table2[[#This Row],[Cantidad]]</f>
        <v>9056.6666666666661</v>
      </c>
      <c r="K189" s="1" t="str">
        <f>+_xlfn.IFS(Table2[[#This Row],[Ventas]]&gt;200000,"Alta", Table2[[#This Row],[Ventas]]&gt;100000,"Media",TRUE,"Bajo")</f>
        <v>Media</v>
      </c>
    </row>
    <row r="190" spans="1:11" x14ac:dyDescent="0.25">
      <c r="A190" s="1" t="s">
        <v>97</v>
      </c>
      <c r="B190" s="1" t="s">
        <v>146</v>
      </c>
      <c r="C190" s="1" t="s">
        <v>89</v>
      </c>
      <c r="D190" s="1" t="s">
        <v>9</v>
      </c>
      <c r="E190" s="2">
        <v>42429.457638888889</v>
      </c>
      <c r="F190" s="1" t="s">
        <v>7</v>
      </c>
      <c r="G190" s="1">
        <v>249032</v>
      </c>
      <c r="H190" s="1">
        <v>36</v>
      </c>
      <c r="I190" s="1" t="s">
        <v>81</v>
      </c>
      <c r="J190" s="1">
        <f>+Table2[[#This Row],[Ventas]]/Table2[[#This Row],[Cantidad]]</f>
        <v>6917.5555555555557</v>
      </c>
      <c r="K190" s="1" t="str">
        <f>+_xlfn.IFS(Table2[[#This Row],[Ventas]]&gt;200000,"Alta", Table2[[#This Row],[Ventas]]&gt;100000,"Media",TRUE,"Bajo")</f>
        <v>Alta</v>
      </c>
    </row>
    <row r="191" spans="1:11" x14ac:dyDescent="0.25">
      <c r="A191" s="1" t="s">
        <v>98</v>
      </c>
      <c r="B191" s="1" t="s">
        <v>124</v>
      </c>
      <c r="C191" s="1" t="s">
        <v>92</v>
      </c>
      <c r="D191" s="1" t="s">
        <v>5</v>
      </c>
      <c r="E191" s="2">
        <v>42429.457638888889</v>
      </c>
      <c r="F191" s="1" t="s">
        <v>6</v>
      </c>
      <c r="G191" s="1">
        <v>128165</v>
      </c>
      <c r="H191" s="1">
        <v>31</v>
      </c>
      <c r="I191" s="1" t="s">
        <v>82</v>
      </c>
      <c r="J191" s="1">
        <f>+Table2[[#This Row],[Ventas]]/Table2[[#This Row],[Cantidad]]</f>
        <v>4134.3548387096771</v>
      </c>
      <c r="K191" s="1" t="str">
        <f>+_xlfn.IFS(Table2[[#This Row],[Ventas]]&gt;200000,"Alta", Table2[[#This Row],[Ventas]]&gt;100000,"Media",TRUE,"Bajo")</f>
        <v>Media</v>
      </c>
    </row>
    <row r="192" spans="1:11" x14ac:dyDescent="0.25">
      <c r="A192" s="1" t="s">
        <v>98</v>
      </c>
      <c r="B192" s="1" t="s">
        <v>22</v>
      </c>
      <c r="C192" s="1" t="s">
        <v>86</v>
      </c>
      <c r="D192" s="1" t="s">
        <v>9</v>
      </c>
      <c r="E192" s="2">
        <v>42401.457638888889</v>
      </c>
      <c r="F192" s="1" t="s">
        <v>6</v>
      </c>
      <c r="G192" s="1">
        <v>64326</v>
      </c>
      <c r="H192" s="1">
        <v>30</v>
      </c>
      <c r="I192" s="1" t="s">
        <v>79</v>
      </c>
      <c r="J192" s="1">
        <f>+Table2[[#This Row],[Ventas]]/Table2[[#This Row],[Cantidad]]</f>
        <v>2144.1999999999998</v>
      </c>
      <c r="K192" s="1" t="str">
        <f>+_xlfn.IFS(Table2[[#This Row],[Ventas]]&gt;200000,"Alta", Table2[[#This Row],[Ventas]]&gt;100000,"Media",TRUE,"Bajo")</f>
        <v>Bajo</v>
      </c>
    </row>
    <row r="193" spans="1:11" x14ac:dyDescent="0.25">
      <c r="A193" s="1" t="s">
        <v>98</v>
      </c>
      <c r="B193" s="1" t="s">
        <v>124</v>
      </c>
      <c r="C193" s="1" t="s">
        <v>92</v>
      </c>
      <c r="D193" s="1" t="s">
        <v>5</v>
      </c>
      <c r="E193" s="2">
        <v>42429.457638888889</v>
      </c>
      <c r="F193" s="1" t="s">
        <v>6</v>
      </c>
      <c r="G193" s="1">
        <v>125963</v>
      </c>
      <c r="H193" s="1">
        <v>36</v>
      </c>
      <c r="I193" s="1" t="s">
        <v>79</v>
      </c>
      <c r="J193" s="1">
        <f>+Table2[[#This Row],[Ventas]]/Table2[[#This Row],[Cantidad]]</f>
        <v>3498.9722222222222</v>
      </c>
      <c r="K193" s="1" t="str">
        <f>+_xlfn.IFS(Table2[[#This Row],[Ventas]]&gt;200000,"Alta", Table2[[#This Row],[Ventas]]&gt;100000,"Media",TRUE,"Bajo")</f>
        <v>Media</v>
      </c>
    </row>
    <row r="194" spans="1:11" x14ac:dyDescent="0.25">
      <c r="A194" s="1" t="s">
        <v>98</v>
      </c>
      <c r="B194" s="1" t="s">
        <v>114</v>
      </c>
      <c r="C194" s="1" t="s">
        <v>92</v>
      </c>
      <c r="D194" s="1" t="s">
        <v>5</v>
      </c>
      <c r="E194" s="2">
        <v>42418.457638888889</v>
      </c>
      <c r="F194" s="1" t="s">
        <v>6</v>
      </c>
      <c r="G194" s="1">
        <v>217326</v>
      </c>
      <c r="H194" s="1">
        <v>15</v>
      </c>
      <c r="I194" s="1" t="s">
        <v>79</v>
      </c>
      <c r="J194" s="1">
        <f>+Table2[[#This Row],[Ventas]]/Table2[[#This Row],[Cantidad]]</f>
        <v>14488.4</v>
      </c>
      <c r="K194" s="1" t="str">
        <f>+_xlfn.IFS(Table2[[#This Row],[Ventas]]&gt;200000,"Alta", Table2[[#This Row],[Ventas]]&gt;100000,"Media",TRUE,"Bajo")</f>
        <v>Alta</v>
      </c>
    </row>
    <row r="195" spans="1:11" x14ac:dyDescent="0.25">
      <c r="A195" s="1" t="s">
        <v>98</v>
      </c>
      <c r="B195" s="1" t="s">
        <v>124</v>
      </c>
      <c r="C195" s="1" t="s">
        <v>92</v>
      </c>
      <c r="D195" s="1" t="s">
        <v>5</v>
      </c>
      <c r="E195" s="2">
        <v>42429.457638888889</v>
      </c>
      <c r="F195" s="1" t="s">
        <v>6</v>
      </c>
      <c r="G195" s="1">
        <v>247619</v>
      </c>
      <c r="H195" s="1">
        <v>35</v>
      </c>
      <c r="I195" s="1" t="s">
        <v>93</v>
      </c>
      <c r="J195" s="1">
        <f>+Table2[[#This Row],[Ventas]]/Table2[[#This Row],[Cantidad]]</f>
        <v>7074.8285714285712</v>
      </c>
      <c r="K195" s="1" t="str">
        <f>+_xlfn.IFS(Table2[[#This Row],[Ventas]]&gt;200000,"Alta", Table2[[#This Row],[Ventas]]&gt;100000,"Media",TRUE,"Bajo")</f>
        <v>Alta</v>
      </c>
    </row>
    <row r="196" spans="1:11" x14ac:dyDescent="0.25">
      <c r="A196" s="1" t="s">
        <v>98</v>
      </c>
      <c r="B196" s="1" t="s">
        <v>21</v>
      </c>
      <c r="C196" s="1" t="s">
        <v>86</v>
      </c>
      <c r="D196" s="1" t="s">
        <v>9</v>
      </c>
      <c r="E196" s="2">
        <v>42401.457638888889</v>
      </c>
      <c r="F196" s="1" t="s">
        <v>6</v>
      </c>
      <c r="G196" s="1">
        <v>96045</v>
      </c>
      <c r="H196" s="1">
        <v>15</v>
      </c>
      <c r="I196" s="1" t="s">
        <v>79</v>
      </c>
      <c r="J196" s="1">
        <f>+Table2[[#This Row],[Ventas]]/Table2[[#This Row],[Cantidad]]</f>
        <v>6403</v>
      </c>
      <c r="K196" s="1" t="str">
        <f>+_xlfn.IFS(Table2[[#This Row],[Ventas]]&gt;200000,"Alta", Table2[[#This Row],[Ventas]]&gt;100000,"Media",TRUE,"Bajo")</f>
        <v>Bajo</v>
      </c>
    </row>
    <row r="197" spans="1:11" x14ac:dyDescent="0.25">
      <c r="A197" s="1" t="s">
        <v>98</v>
      </c>
      <c r="B197" s="1" t="s">
        <v>21</v>
      </c>
      <c r="C197" s="1" t="s">
        <v>86</v>
      </c>
      <c r="D197" s="1" t="s">
        <v>9</v>
      </c>
      <c r="E197" s="2">
        <v>42401.457638888889</v>
      </c>
      <c r="F197" s="1" t="s">
        <v>6</v>
      </c>
      <c r="G197" s="1">
        <v>60605</v>
      </c>
      <c r="H197" s="1">
        <v>16</v>
      </c>
      <c r="I197" s="1" t="s">
        <v>81</v>
      </c>
      <c r="J197" s="1">
        <f>+Table2[[#This Row],[Ventas]]/Table2[[#This Row],[Cantidad]]</f>
        <v>3787.8125</v>
      </c>
      <c r="K197" s="1" t="str">
        <f>+_xlfn.IFS(Table2[[#This Row],[Ventas]]&gt;200000,"Alta", Table2[[#This Row],[Ventas]]&gt;100000,"Media",TRUE,"Bajo")</f>
        <v>Bajo</v>
      </c>
    </row>
    <row r="198" spans="1:11" x14ac:dyDescent="0.25">
      <c r="A198" s="1" t="s">
        <v>98</v>
      </c>
      <c r="B198" s="1" t="s">
        <v>21</v>
      </c>
      <c r="C198" s="1" t="s">
        <v>86</v>
      </c>
      <c r="D198" s="1" t="s">
        <v>9</v>
      </c>
      <c r="E198" s="2">
        <v>42401.457638888889</v>
      </c>
      <c r="F198" s="1" t="s">
        <v>6</v>
      </c>
      <c r="G198" s="1">
        <v>247695</v>
      </c>
      <c r="H198" s="1">
        <v>24</v>
      </c>
      <c r="I198" s="1" t="s">
        <v>82</v>
      </c>
      <c r="J198" s="1">
        <f>+Table2[[#This Row],[Ventas]]/Table2[[#This Row],[Cantidad]]</f>
        <v>10320.625</v>
      </c>
      <c r="K198" s="1" t="str">
        <f>+_xlfn.IFS(Table2[[#This Row],[Ventas]]&gt;200000,"Alta", Table2[[#This Row],[Ventas]]&gt;100000,"Media",TRUE,"Bajo")</f>
        <v>Alta</v>
      </c>
    </row>
    <row r="199" spans="1:11" x14ac:dyDescent="0.25">
      <c r="A199" s="1" t="s">
        <v>99</v>
      </c>
      <c r="B199" s="1" t="s">
        <v>21</v>
      </c>
      <c r="C199" s="1" t="s">
        <v>86</v>
      </c>
      <c r="D199" s="1" t="s">
        <v>9</v>
      </c>
      <c r="E199" s="2">
        <v>42401.457638888889</v>
      </c>
      <c r="F199" s="1" t="s">
        <v>6</v>
      </c>
      <c r="G199" s="1">
        <v>213165</v>
      </c>
      <c r="H199" s="1">
        <v>39</v>
      </c>
      <c r="I199" s="1" t="s">
        <v>79</v>
      </c>
      <c r="J199" s="1">
        <f>+Table2[[#This Row],[Ventas]]/Table2[[#This Row],[Cantidad]]</f>
        <v>5465.7692307692305</v>
      </c>
      <c r="K199" s="1" t="str">
        <f>+_xlfn.IFS(Table2[[#This Row],[Ventas]]&gt;200000,"Alta", Table2[[#This Row],[Ventas]]&gt;100000,"Media",TRUE,"Bajo")</f>
        <v>Alta</v>
      </c>
    </row>
    <row r="200" spans="1:11" x14ac:dyDescent="0.25">
      <c r="A200" s="1" t="s">
        <v>99</v>
      </c>
      <c r="B200" s="1" t="s">
        <v>21</v>
      </c>
      <c r="C200" s="1" t="s">
        <v>86</v>
      </c>
      <c r="D200" s="1" t="s">
        <v>9</v>
      </c>
      <c r="E200" s="2">
        <v>42401.457638888889</v>
      </c>
      <c r="F200" s="1" t="s">
        <v>6</v>
      </c>
      <c r="G200" s="1">
        <v>175282</v>
      </c>
      <c r="H200" s="1">
        <v>36</v>
      </c>
      <c r="I200" s="1" t="s">
        <v>79</v>
      </c>
      <c r="J200" s="1">
        <f>+Table2[[#This Row],[Ventas]]/Table2[[#This Row],[Cantidad]]</f>
        <v>4868.9444444444443</v>
      </c>
      <c r="K200" s="1" t="str">
        <f>+_xlfn.IFS(Table2[[#This Row],[Ventas]]&gt;200000,"Alta", Table2[[#This Row],[Ventas]]&gt;100000,"Media",TRUE,"Bajo")</f>
        <v>Media</v>
      </c>
    </row>
    <row r="201" spans="1:11" x14ac:dyDescent="0.25">
      <c r="A201" s="1" t="s">
        <v>99</v>
      </c>
      <c r="B201" s="1" t="s">
        <v>20</v>
      </c>
      <c r="C201" s="1" t="s">
        <v>86</v>
      </c>
      <c r="D201" s="1" t="s">
        <v>9</v>
      </c>
      <c r="E201" s="2">
        <v>42401.457638888889</v>
      </c>
      <c r="F201" s="1" t="s">
        <v>6</v>
      </c>
      <c r="G201" s="1">
        <v>207526</v>
      </c>
      <c r="H201" s="1">
        <v>29</v>
      </c>
      <c r="I201" s="1" t="s">
        <v>80</v>
      </c>
      <c r="J201" s="1">
        <f>+Table2[[#This Row],[Ventas]]/Table2[[#This Row],[Cantidad]]</f>
        <v>7156.0689655172409</v>
      </c>
      <c r="K201" s="1" t="str">
        <f>+_xlfn.IFS(Table2[[#This Row],[Ventas]]&gt;200000,"Alta", Table2[[#This Row],[Ventas]]&gt;100000,"Media",TRUE,"Bajo")</f>
        <v>Alta</v>
      </c>
    </row>
    <row r="202" spans="1:11" x14ac:dyDescent="0.25">
      <c r="A202" s="1" t="s">
        <v>99</v>
      </c>
      <c r="B202" s="1" t="s">
        <v>20</v>
      </c>
      <c r="C202" s="1" t="s">
        <v>86</v>
      </c>
      <c r="D202" s="1" t="s">
        <v>9</v>
      </c>
      <c r="E202" s="2">
        <v>42401.457638888889</v>
      </c>
      <c r="F202" s="1" t="s">
        <v>6</v>
      </c>
      <c r="G202" s="1">
        <v>57043</v>
      </c>
      <c r="H202" s="1">
        <v>18</v>
      </c>
      <c r="I202" s="1" t="s">
        <v>79</v>
      </c>
      <c r="J202" s="1">
        <f>+Table2[[#This Row],[Ventas]]/Table2[[#This Row],[Cantidad]]</f>
        <v>3169.0555555555557</v>
      </c>
      <c r="K202" s="1" t="str">
        <f>+_xlfn.IFS(Table2[[#This Row],[Ventas]]&gt;200000,"Alta", Table2[[#This Row],[Ventas]]&gt;100000,"Media",TRUE,"Bajo")</f>
        <v>Bajo</v>
      </c>
    </row>
    <row r="203" spans="1:11" x14ac:dyDescent="0.25">
      <c r="A203" s="1" t="s">
        <v>99</v>
      </c>
      <c r="B203" s="1" t="s">
        <v>11</v>
      </c>
      <c r="C203" s="1" t="s">
        <v>84</v>
      </c>
      <c r="D203" s="1" t="s">
        <v>5</v>
      </c>
      <c r="E203" s="2">
        <v>42429.457638888889</v>
      </c>
      <c r="F203" s="1" t="s">
        <v>6</v>
      </c>
      <c r="G203" s="1">
        <v>143396</v>
      </c>
      <c r="H203" s="1">
        <v>34</v>
      </c>
      <c r="I203" s="1" t="s">
        <v>80</v>
      </c>
      <c r="J203" s="1">
        <f>+Table2[[#This Row],[Ventas]]/Table2[[#This Row],[Cantidad]]</f>
        <v>4217.5294117647063</v>
      </c>
      <c r="K203" s="1" t="str">
        <f>+_xlfn.IFS(Table2[[#This Row],[Ventas]]&gt;200000,"Alta", Table2[[#This Row],[Ventas]]&gt;100000,"Media",TRUE,"Bajo")</f>
        <v>Media</v>
      </c>
    </row>
    <row r="204" spans="1:11" x14ac:dyDescent="0.25">
      <c r="A204" s="1" t="s">
        <v>100</v>
      </c>
      <c r="B204" s="1" t="s">
        <v>20</v>
      </c>
      <c r="C204" s="1" t="s">
        <v>86</v>
      </c>
      <c r="D204" s="1" t="s">
        <v>9</v>
      </c>
      <c r="E204" s="2">
        <v>42401.457638888889</v>
      </c>
      <c r="F204" s="1" t="s">
        <v>6</v>
      </c>
      <c r="G204" s="1">
        <v>236237</v>
      </c>
      <c r="H204" s="1">
        <v>20</v>
      </c>
      <c r="I204" s="1" t="s">
        <v>79</v>
      </c>
      <c r="J204" s="1">
        <f>+Table2[[#This Row],[Ventas]]/Table2[[#This Row],[Cantidad]]</f>
        <v>11811.85</v>
      </c>
      <c r="K204" s="1" t="str">
        <f>+_xlfn.IFS(Table2[[#This Row],[Ventas]]&gt;200000,"Alta", Table2[[#This Row],[Ventas]]&gt;100000,"Media",TRUE,"Bajo")</f>
        <v>Alta</v>
      </c>
    </row>
    <row r="205" spans="1:11" x14ac:dyDescent="0.25">
      <c r="A205" s="1" t="s">
        <v>100</v>
      </c>
      <c r="B205" s="1" t="s">
        <v>114</v>
      </c>
      <c r="C205" s="1" t="s">
        <v>92</v>
      </c>
      <c r="D205" s="1" t="s">
        <v>5</v>
      </c>
      <c r="E205" s="2">
        <v>42426.457638888889</v>
      </c>
      <c r="F205" s="1" t="s">
        <v>6</v>
      </c>
      <c r="G205" s="1">
        <v>166285</v>
      </c>
      <c r="H205" s="1">
        <v>29</v>
      </c>
      <c r="I205" s="1" t="s">
        <v>79</v>
      </c>
      <c r="J205" s="1">
        <f>+Table2[[#This Row],[Ventas]]/Table2[[#This Row],[Cantidad]]</f>
        <v>5733.9655172413795</v>
      </c>
      <c r="K205" s="1" t="str">
        <f>+_xlfn.IFS(Table2[[#This Row],[Ventas]]&gt;200000,"Alta", Table2[[#This Row],[Ventas]]&gt;100000,"Media",TRUE,"Bajo")</f>
        <v>Media</v>
      </c>
    </row>
    <row r="206" spans="1:11" x14ac:dyDescent="0.25">
      <c r="A206" s="1" t="s">
        <v>100</v>
      </c>
      <c r="B206" s="1" t="s">
        <v>22</v>
      </c>
      <c r="C206" s="1" t="s">
        <v>86</v>
      </c>
      <c r="D206" s="1" t="s">
        <v>9</v>
      </c>
      <c r="E206" s="2">
        <v>42401.457638888889</v>
      </c>
      <c r="F206" s="1" t="s">
        <v>6</v>
      </c>
      <c r="G206" s="1">
        <v>235433</v>
      </c>
      <c r="H206" s="1">
        <v>33</v>
      </c>
      <c r="I206" s="1" t="s">
        <v>79</v>
      </c>
      <c r="J206" s="1">
        <f>+Table2[[#This Row],[Ventas]]/Table2[[#This Row],[Cantidad]]</f>
        <v>7134.333333333333</v>
      </c>
      <c r="K206" s="1" t="str">
        <f>+_xlfn.IFS(Table2[[#This Row],[Ventas]]&gt;200000,"Alta", Table2[[#This Row],[Ventas]]&gt;100000,"Media",TRUE,"Bajo")</f>
        <v>Alta</v>
      </c>
    </row>
    <row r="207" spans="1:11" x14ac:dyDescent="0.25">
      <c r="A207" s="1" t="s">
        <v>100</v>
      </c>
      <c r="B207" s="1" t="s">
        <v>130</v>
      </c>
      <c r="C207" s="1" t="s">
        <v>86</v>
      </c>
      <c r="D207" s="1" t="s">
        <v>5</v>
      </c>
      <c r="E207" s="2">
        <v>42426.457638888889</v>
      </c>
      <c r="F207" s="1" t="s">
        <v>6</v>
      </c>
      <c r="G207" s="1">
        <v>244064</v>
      </c>
      <c r="H207" s="1">
        <v>25</v>
      </c>
      <c r="I207" s="1" t="s">
        <v>93</v>
      </c>
      <c r="J207" s="1">
        <f>+Table2[[#This Row],[Ventas]]/Table2[[#This Row],[Cantidad]]</f>
        <v>9762.56</v>
      </c>
      <c r="K207" s="1" t="str">
        <f>+_xlfn.IFS(Table2[[#This Row],[Ventas]]&gt;200000,"Alta", Table2[[#This Row],[Ventas]]&gt;100000,"Media",TRUE,"Bajo")</f>
        <v>Alta</v>
      </c>
    </row>
    <row r="208" spans="1:11" x14ac:dyDescent="0.25">
      <c r="A208" s="1" t="s">
        <v>101</v>
      </c>
      <c r="B208" s="1" t="s">
        <v>109</v>
      </c>
      <c r="C208" s="1" t="s">
        <v>86</v>
      </c>
      <c r="D208" s="1" t="s">
        <v>5</v>
      </c>
      <c r="E208" s="2">
        <v>42429.457638888889</v>
      </c>
      <c r="F208" s="1" t="s">
        <v>6</v>
      </c>
      <c r="G208" s="1">
        <v>53014</v>
      </c>
      <c r="H208" s="1">
        <v>15</v>
      </c>
      <c r="I208" s="1" t="s">
        <v>82</v>
      </c>
      <c r="J208" s="1">
        <f>+Table2[[#This Row],[Ventas]]/Table2[[#This Row],[Cantidad]]</f>
        <v>3534.2666666666669</v>
      </c>
      <c r="K208" s="1" t="str">
        <f>+_xlfn.IFS(Table2[[#This Row],[Ventas]]&gt;200000,"Alta", Table2[[#This Row],[Ventas]]&gt;100000,"Media",TRUE,"Bajo")</f>
        <v>Bajo</v>
      </c>
    </row>
    <row r="209" spans="1:11" x14ac:dyDescent="0.25">
      <c r="A209" s="1" t="s">
        <v>101</v>
      </c>
      <c r="B209" s="1" t="s">
        <v>22</v>
      </c>
      <c r="C209" s="1" t="s">
        <v>86</v>
      </c>
      <c r="D209" s="1" t="s">
        <v>9</v>
      </c>
      <c r="E209" s="2">
        <v>42401.457638888889</v>
      </c>
      <c r="F209" s="1" t="s">
        <v>6</v>
      </c>
      <c r="G209" s="1">
        <v>187059</v>
      </c>
      <c r="H209" s="1">
        <v>28</v>
      </c>
      <c r="I209" s="1" t="s">
        <v>79</v>
      </c>
      <c r="J209" s="1">
        <f>+Table2[[#This Row],[Ventas]]/Table2[[#This Row],[Cantidad]]</f>
        <v>6680.6785714285716</v>
      </c>
      <c r="K209" s="1" t="str">
        <f>+_xlfn.IFS(Table2[[#This Row],[Ventas]]&gt;200000,"Alta", Table2[[#This Row],[Ventas]]&gt;100000,"Media",TRUE,"Bajo")</f>
        <v>Media</v>
      </c>
    </row>
    <row r="210" spans="1:11" x14ac:dyDescent="0.25">
      <c r="A210" s="1" t="s">
        <v>102</v>
      </c>
      <c r="B210" s="1" t="s">
        <v>20</v>
      </c>
      <c r="C210" s="1" t="s">
        <v>86</v>
      </c>
      <c r="D210" s="1" t="s">
        <v>9</v>
      </c>
      <c r="E210" s="2">
        <v>42401.457638888889</v>
      </c>
      <c r="F210" s="1" t="s">
        <v>6</v>
      </c>
      <c r="G210" s="1">
        <v>206167</v>
      </c>
      <c r="H210" s="1">
        <v>40</v>
      </c>
      <c r="I210" s="1" t="s">
        <v>79</v>
      </c>
      <c r="J210" s="1">
        <f>+Table2[[#This Row],[Ventas]]/Table2[[#This Row],[Cantidad]]</f>
        <v>5154.1750000000002</v>
      </c>
      <c r="K210" s="1" t="str">
        <f>+_xlfn.IFS(Table2[[#This Row],[Ventas]]&gt;200000,"Alta", Table2[[#This Row],[Ventas]]&gt;100000,"Media",TRUE,"Bajo")</f>
        <v>Alta</v>
      </c>
    </row>
    <row r="211" spans="1:11" x14ac:dyDescent="0.25">
      <c r="A211" s="1" t="s">
        <v>102</v>
      </c>
      <c r="B211" s="1" t="s">
        <v>11</v>
      </c>
      <c r="C211" s="1" t="s">
        <v>84</v>
      </c>
      <c r="D211" s="1" t="s">
        <v>5</v>
      </c>
      <c r="E211" s="2">
        <v>42429.457638888889</v>
      </c>
      <c r="F211" s="1" t="s">
        <v>6</v>
      </c>
      <c r="G211" s="1">
        <v>248081</v>
      </c>
      <c r="H211" s="1">
        <v>19</v>
      </c>
      <c r="I211" s="1" t="s">
        <v>81</v>
      </c>
      <c r="J211" s="1">
        <f>+Table2[[#This Row],[Ventas]]/Table2[[#This Row],[Cantidad]]</f>
        <v>13056.894736842105</v>
      </c>
      <c r="K211" s="1" t="str">
        <f>+_xlfn.IFS(Table2[[#This Row],[Ventas]]&gt;200000,"Alta", Table2[[#This Row],[Ventas]]&gt;100000,"Media",TRUE,"Bajo")</f>
        <v>Alta</v>
      </c>
    </row>
    <row r="212" spans="1:11" x14ac:dyDescent="0.25">
      <c r="A212" s="1" t="s">
        <v>102</v>
      </c>
      <c r="B212" s="1" t="s">
        <v>114</v>
      </c>
      <c r="C212" s="1" t="s">
        <v>92</v>
      </c>
      <c r="D212" s="1" t="s">
        <v>5</v>
      </c>
      <c r="E212" s="2">
        <v>42426.457638888889</v>
      </c>
      <c r="F212" s="1" t="s">
        <v>6</v>
      </c>
      <c r="G212" s="1">
        <v>244877</v>
      </c>
      <c r="H212" s="1">
        <v>22</v>
      </c>
      <c r="I212" s="1" t="s">
        <v>82</v>
      </c>
      <c r="J212" s="1">
        <f>+Table2[[#This Row],[Ventas]]/Table2[[#This Row],[Cantidad]]</f>
        <v>11130.772727272728</v>
      </c>
      <c r="K212" s="1" t="str">
        <f>+_xlfn.IFS(Table2[[#This Row],[Ventas]]&gt;200000,"Alta", Table2[[#This Row],[Ventas]]&gt;100000,"Media",TRUE,"Bajo")</f>
        <v>Alta</v>
      </c>
    </row>
    <row r="213" spans="1:11" x14ac:dyDescent="0.25">
      <c r="A213" s="1" t="s">
        <v>102</v>
      </c>
      <c r="B213" s="1" t="s">
        <v>124</v>
      </c>
      <c r="C213" s="1" t="s">
        <v>92</v>
      </c>
      <c r="D213" s="1" t="s">
        <v>5</v>
      </c>
      <c r="E213" s="2">
        <v>42429.457638888889</v>
      </c>
      <c r="F213" s="1" t="s">
        <v>6</v>
      </c>
      <c r="G213" s="1">
        <v>99115</v>
      </c>
      <c r="H213" s="1">
        <v>18</v>
      </c>
      <c r="I213" s="1" t="s">
        <v>80</v>
      </c>
      <c r="J213" s="1">
        <f>+Table2[[#This Row],[Ventas]]/Table2[[#This Row],[Cantidad]]</f>
        <v>5506.3888888888887</v>
      </c>
      <c r="K213" s="1" t="str">
        <f>+_xlfn.IFS(Table2[[#This Row],[Ventas]]&gt;200000,"Alta", Table2[[#This Row],[Ventas]]&gt;100000,"Media",TRUE,"Bajo")</f>
        <v>Bajo</v>
      </c>
    </row>
    <row r="214" spans="1:11" x14ac:dyDescent="0.25">
      <c r="A214" s="1" t="s">
        <v>102</v>
      </c>
      <c r="B214" s="1" t="s">
        <v>21</v>
      </c>
      <c r="C214" s="1" t="s">
        <v>86</v>
      </c>
      <c r="D214" s="1" t="s">
        <v>9</v>
      </c>
      <c r="E214" s="2">
        <v>42401.457638888889</v>
      </c>
      <c r="F214" s="1" t="s">
        <v>6</v>
      </c>
      <c r="G214" s="1">
        <v>80316</v>
      </c>
      <c r="H214" s="1">
        <v>21</v>
      </c>
      <c r="I214" s="1" t="s">
        <v>80</v>
      </c>
      <c r="J214" s="1">
        <f>+Table2[[#This Row],[Ventas]]/Table2[[#This Row],[Cantidad]]</f>
        <v>3824.5714285714284</v>
      </c>
      <c r="K214" s="1" t="str">
        <f>+_xlfn.IFS(Table2[[#This Row],[Ventas]]&gt;200000,"Alta", Table2[[#This Row],[Ventas]]&gt;100000,"Media",TRUE,"Bajo")</f>
        <v>Bajo</v>
      </c>
    </row>
    <row r="215" spans="1:11" x14ac:dyDescent="0.25">
      <c r="A215" s="1" t="s">
        <v>102</v>
      </c>
      <c r="B215" s="1" t="s">
        <v>22</v>
      </c>
      <c r="C215" s="1" t="s">
        <v>86</v>
      </c>
      <c r="D215" s="1" t="s">
        <v>9</v>
      </c>
      <c r="E215" s="2">
        <v>42401.457638888889</v>
      </c>
      <c r="F215" s="1" t="s">
        <v>6</v>
      </c>
      <c r="G215" s="1">
        <v>88338</v>
      </c>
      <c r="H215" s="1">
        <v>16</v>
      </c>
      <c r="I215" s="1" t="s">
        <v>80</v>
      </c>
      <c r="J215" s="1">
        <f>+Table2[[#This Row],[Ventas]]/Table2[[#This Row],[Cantidad]]</f>
        <v>5521.125</v>
      </c>
      <c r="K215" s="1" t="str">
        <f>+_xlfn.IFS(Table2[[#This Row],[Ventas]]&gt;200000,"Alta", Table2[[#This Row],[Ventas]]&gt;100000,"Media",TRUE,"Bajo")</f>
        <v>Bajo</v>
      </c>
    </row>
    <row r="216" spans="1:11" x14ac:dyDescent="0.25">
      <c r="A216" s="1" t="s">
        <v>95</v>
      </c>
      <c r="B216" s="1" t="s">
        <v>108</v>
      </c>
      <c r="C216" s="1" t="s">
        <v>89</v>
      </c>
      <c r="D216" s="1" t="s">
        <v>9</v>
      </c>
      <c r="E216" s="2">
        <v>42370.457638888889</v>
      </c>
      <c r="F216" s="1" t="s">
        <v>12</v>
      </c>
      <c r="G216" s="1">
        <v>240940</v>
      </c>
      <c r="H216" s="1">
        <v>37</v>
      </c>
      <c r="I216" s="1" t="s">
        <v>79</v>
      </c>
      <c r="J216" s="1">
        <f>+Table2[[#This Row],[Ventas]]/Table2[[#This Row],[Cantidad]]</f>
        <v>6511.8918918918916</v>
      </c>
      <c r="K216" s="1" t="str">
        <f>+_xlfn.IFS(Table2[[#This Row],[Ventas]]&gt;200000,"Alta", Table2[[#This Row],[Ventas]]&gt;100000,"Media",TRUE,"Bajo")</f>
        <v>Alta</v>
      </c>
    </row>
    <row r="217" spans="1:11" x14ac:dyDescent="0.25">
      <c r="A217" s="1" t="s">
        <v>95</v>
      </c>
      <c r="B217" s="1" t="s">
        <v>43</v>
      </c>
      <c r="C217" s="1" t="s">
        <v>87</v>
      </c>
      <c r="D217" s="1" t="s">
        <v>9</v>
      </c>
      <c r="E217" s="2">
        <v>42370.457638888889</v>
      </c>
      <c r="F217" s="1" t="s">
        <v>12</v>
      </c>
      <c r="G217" s="1">
        <v>101844</v>
      </c>
      <c r="H217" s="1">
        <v>39</v>
      </c>
      <c r="I217" s="1" t="s">
        <v>81</v>
      </c>
      <c r="J217" s="1">
        <f>+Table2[[#This Row],[Ventas]]/Table2[[#This Row],[Cantidad]]</f>
        <v>2611.3846153846152</v>
      </c>
      <c r="K217" s="1" t="str">
        <f>+_xlfn.IFS(Table2[[#This Row],[Ventas]]&gt;200000,"Alta", Table2[[#This Row],[Ventas]]&gt;100000,"Media",TRUE,"Bajo")</f>
        <v>Media</v>
      </c>
    </row>
    <row r="218" spans="1:11" x14ac:dyDescent="0.25">
      <c r="A218" s="1" t="s">
        <v>95</v>
      </c>
      <c r="B218" s="1" t="s">
        <v>134</v>
      </c>
      <c r="C218" s="1" t="s">
        <v>87</v>
      </c>
      <c r="D218" s="1" t="s">
        <v>9</v>
      </c>
      <c r="E218" s="2">
        <v>42370.457638888889</v>
      </c>
      <c r="F218" s="1" t="s">
        <v>6</v>
      </c>
      <c r="G218" s="1">
        <v>129301</v>
      </c>
      <c r="H218" s="1">
        <v>38</v>
      </c>
      <c r="I218" s="1" t="s">
        <v>81</v>
      </c>
      <c r="J218" s="1">
        <f>+Table2[[#This Row],[Ventas]]/Table2[[#This Row],[Cantidad]]</f>
        <v>3402.6578947368421</v>
      </c>
      <c r="K218" s="1" t="str">
        <f>+_xlfn.IFS(Table2[[#This Row],[Ventas]]&gt;200000,"Alta", Table2[[#This Row],[Ventas]]&gt;100000,"Media",TRUE,"Bajo")</f>
        <v>Media</v>
      </c>
    </row>
    <row r="219" spans="1:11" x14ac:dyDescent="0.25">
      <c r="A219" s="1" t="s">
        <v>95</v>
      </c>
      <c r="B219" s="1" t="s">
        <v>54</v>
      </c>
      <c r="C219" s="1" t="s">
        <v>92</v>
      </c>
      <c r="D219" s="1" t="s">
        <v>5</v>
      </c>
      <c r="E219" s="2">
        <v>42370.457638888889</v>
      </c>
      <c r="F219" s="1" t="s">
        <v>6</v>
      </c>
      <c r="G219" s="1">
        <v>118525</v>
      </c>
      <c r="H219" s="1">
        <v>41</v>
      </c>
      <c r="I219" s="1" t="s">
        <v>93</v>
      </c>
      <c r="J219" s="1">
        <f>+Table2[[#This Row],[Ventas]]/Table2[[#This Row],[Cantidad]]</f>
        <v>2890.8536585365855</v>
      </c>
      <c r="K219" s="1" t="str">
        <f>+_xlfn.IFS(Table2[[#This Row],[Ventas]]&gt;200000,"Alta", Table2[[#This Row],[Ventas]]&gt;100000,"Media",TRUE,"Bajo")</f>
        <v>Media</v>
      </c>
    </row>
    <row r="220" spans="1:11" x14ac:dyDescent="0.25">
      <c r="A220" s="1" t="s">
        <v>96</v>
      </c>
      <c r="B220" s="1" t="s">
        <v>77</v>
      </c>
      <c r="C220" s="1" t="s">
        <v>92</v>
      </c>
      <c r="D220" s="1" t="s">
        <v>5</v>
      </c>
      <c r="E220" s="2">
        <v>42370.457638888889</v>
      </c>
      <c r="F220" s="1" t="s">
        <v>6</v>
      </c>
      <c r="G220" s="1">
        <v>124304</v>
      </c>
      <c r="H220" s="1">
        <v>26</v>
      </c>
      <c r="I220" s="1" t="s">
        <v>79</v>
      </c>
      <c r="J220" s="1">
        <f>+Table2[[#This Row],[Ventas]]/Table2[[#This Row],[Cantidad]]</f>
        <v>4780.9230769230771</v>
      </c>
      <c r="K220" s="1" t="str">
        <f>+_xlfn.IFS(Table2[[#This Row],[Ventas]]&gt;200000,"Alta", Table2[[#This Row],[Ventas]]&gt;100000,"Media",TRUE,"Bajo")</f>
        <v>Media</v>
      </c>
    </row>
    <row r="221" spans="1:11" x14ac:dyDescent="0.25">
      <c r="A221" s="1" t="s">
        <v>96</v>
      </c>
      <c r="B221" s="1" t="s">
        <v>125</v>
      </c>
      <c r="C221" s="1" t="s">
        <v>86</v>
      </c>
      <c r="D221" s="1" t="s">
        <v>9</v>
      </c>
      <c r="E221" s="2">
        <v>42383.457638888889</v>
      </c>
      <c r="F221" s="1" t="s">
        <v>10</v>
      </c>
      <c r="G221" s="1">
        <v>59089</v>
      </c>
      <c r="H221" s="1">
        <v>32</v>
      </c>
      <c r="I221" s="1" t="s">
        <v>82</v>
      </c>
      <c r="J221" s="1">
        <f>+Table2[[#This Row],[Ventas]]/Table2[[#This Row],[Cantidad]]</f>
        <v>1846.53125</v>
      </c>
      <c r="K221" s="1" t="str">
        <f>+_xlfn.IFS(Table2[[#This Row],[Ventas]]&gt;200000,"Alta", Table2[[#This Row],[Ventas]]&gt;100000,"Media",TRUE,"Bajo")</f>
        <v>Bajo</v>
      </c>
    </row>
    <row r="222" spans="1:11" x14ac:dyDescent="0.25">
      <c r="A222" s="1" t="s">
        <v>96</v>
      </c>
      <c r="B222" s="1" t="s">
        <v>108</v>
      </c>
      <c r="C222" s="1" t="s">
        <v>89</v>
      </c>
      <c r="D222" s="1" t="s">
        <v>9</v>
      </c>
      <c r="E222" s="2">
        <v>42370.457638888889</v>
      </c>
      <c r="F222" s="1" t="s">
        <v>12</v>
      </c>
      <c r="G222" s="1">
        <v>170555</v>
      </c>
      <c r="H222" s="1">
        <v>26</v>
      </c>
      <c r="I222" s="1" t="s">
        <v>79</v>
      </c>
      <c r="J222" s="1">
        <f>+Table2[[#This Row],[Ventas]]/Table2[[#This Row],[Cantidad]]</f>
        <v>6559.8076923076924</v>
      </c>
      <c r="K222" s="1" t="str">
        <f>+_xlfn.IFS(Table2[[#This Row],[Ventas]]&gt;200000,"Alta", Table2[[#This Row],[Ventas]]&gt;100000,"Media",TRUE,"Bajo")</f>
        <v>Media</v>
      </c>
    </row>
    <row r="223" spans="1:11" x14ac:dyDescent="0.25">
      <c r="A223" s="1" t="s">
        <v>96</v>
      </c>
      <c r="B223" s="1" t="s">
        <v>134</v>
      </c>
      <c r="C223" s="1" t="s">
        <v>87</v>
      </c>
      <c r="D223" s="1" t="s">
        <v>9</v>
      </c>
      <c r="E223" s="2">
        <v>42370.457638888889</v>
      </c>
      <c r="F223" s="1" t="s">
        <v>6</v>
      </c>
      <c r="G223" s="1">
        <v>58257</v>
      </c>
      <c r="H223" s="1">
        <v>24</v>
      </c>
      <c r="I223" s="1" t="s">
        <v>79</v>
      </c>
      <c r="J223" s="1">
        <f>+Table2[[#This Row],[Ventas]]/Table2[[#This Row],[Cantidad]]</f>
        <v>2427.375</v>
      </c>
      <c r="K223" s="1" t="str">
        <f>+_xlfn.IFS(Table2[[#This Row],[Ventas]]&gt;200000,"Alta", Table2[[#This Row],[Ventas]]&gt;100000,"Media",TRUE,"Bajo")</f>
        <v>Bajo</v>
      </c>
    </row>
    <row r="224" spans="1:11" x14ac:dyDescent="0.25">
      <c r="A224" s="1" t="s">
        <v>96</v>
      </c>
      <c r="B224" s="1" t="s">
        <v>122</v>
      </c>
      <c r="C224" s="1" t="s">
        <v>92</v>
      </c>
      <c r="D224" s="1" t="s">
        <v>5</v>
      </c>
      <c r="E224" s="2">
        <v>42370.457638888889</v>
      </c>
      <c r="F224" s="1" t="s">
        <v>6</v>
      </c>
      <c r="G224" s="1">
        <v>58438</v>
      </c>
      <c r="H224" s="1">
        <v>41</v>
      </c>
      <c r="I224" s="1" t="s">
        <v>79</v>
      </c>
      <c r="J224" s="1">
        <f>+Table2[[#This Row],[Ventas]]/Table2[[#This Row],[Cantidad]]</f>
        <v>1425.3170731707316</v>
      </c>
      <c r="K224" s="1" t="str">
        <f>+_xlfn.IFS(Table2[[#This Row],[Ventas]]&gt;200000,"Alta", Table2[[#This Row],[Ventas]]&gt;100000,"Media",TRUE,"Bajo")</f>
        <v>Bajo</v>
      </c>
    </row>
    <row r="225" spans="1:11" x14ac:dyDescent="0.25">
      <c r="A225" s="1" t="s">
        <v>96</v>
      </c>
      <c r="B225" s="1" t="s">
        <v>122</v>
      </c>
      <c r="C225" s="1" t="s">
        <v>92</v>
      </c>
      <c r="D225" s="1" t="s">
        <v>5</v>
      </c>
      <c r="E225" s="2">
        <v>42370.457638888889</v>
      </c>
      <c r="F225" s="1" t="s">
        <v>6</v>
      </c>
      <c r="G225" s="1">
        <v>211461</v>
      </c>
      <c r="H225" s="1">
        <v>33</v>
      </c>
      <c r="I225" s="1" t="s">
        <v>79</v>
      </c>
      <c r="J225" s="1">
        <f>+Table2[[#This Row],[Ventas]]/Table2[[#This Row],[Cantidad]]</f>
        <v>6407.909090909091</v>
      </c>
      <c r="K225" s="1" t="str">
        <f>+_xlfn.IFS(Table2[[#This Row],[Ventas]]&gt;200000,"Alta", Table2[[#This Row],[Ventas]]&gt;100000,"Media",TRUE,"Bajo")</f>
        <v>Alta</v>
      </c>
    </row>
    <row r="226" spans="1:11" x14ac:dyDescent="0.25">
      <c r="A226" s="1" t="s">
        <v>97</v>
      </c>
      <c r="B226" s="1" t="s">
        <v>108</v>
      </c>
      <c r="C226" s="1" t="s">
        <v>89</v>
      </c>
      <c r="D226" s="1" t="s">
        <v>9</v>
      </c>
      <c r="E226" s="2">
        <v>42370.457638888889</v>
      </c>
      <c r="F226" s="1" t="s">
        <v>12</v>
      </c>
      <c r="G226" s="1">
        <v>196969</v>
      </c>
      <c r="H226" s="1">
        <v>33</v>
      </c>
      <c r="I226" s="1" t="s">
        <v>81</v>
      </c>
      <c r="J226" s="1">
        <f>+Table2[[#This Row],[Ventas]]/Table2[[#This Row],[Cantidad]]</f>
        <v>5968.757575757576</v>
      </c>
      <c r="K226" s="1" t="str">
        <f>+_xlfn.IFS(Table2[[#This Row],[Ventas]]&gt;200000,"Alta", Table2[[#This Row],[Ventas]]&gt;100000,"Media",TRUE,"Bajo")</f>
        <v>Media</v>
      </c>
    </row>
    <row r="227" spans="1:11" x14ac:dyDescent="0.25">
      <c r="A227" s="1" t="s">
        <v>97</v>
      </c>
      <c r="B227" s="1" t="s">
        <v>122</v>
      </c>
      <c r="C227" s="1" t="s">
        <v>92</v>
      </c>
      <c r="D227" s="1" t="s">
        <v>5</v>
      </c>
      <c r="E227" s="2">
        <v>42370.457638888889</v>
      </c>
      <c r="F227" s="1" t="s">
        <v>6</v>
      </c>
      <c r="G227" s="1">
        <v>169308</v>
      </c>
      <c r="H227" s="1">
        <v>22</v>
      </c>
      <c r="I227" s="1" t="s">
        <v>79</v>
      </c>
      <c r="J227" s="1">
        <f>+Table2[[#This Row],[Ventas]]/Table2[[#This Row],[Cantidad]]</f>
        <v>7695.818181818182</v>
      </c>
      <c r="K227" s="1" t="str">
        <f>+_xlfn.IFS(Table2[[#This Row],[Ventas]]&gt;200000,"Alta", Table2[[#This Row],[Ventas]]&gt;100000,"Media",TRUE,"Bajo")</f>
        <v>Media</v>
      </c>
    </row>
    <row r="228" spans="1:11" x14ac:dyDescent="0.25">
      <c r="A228" s="1" t="s">
        <v>97</v>
      </c>
      <c r="B228" s="1" t="s">
        <v>105</v>
      </c>
      <c r="C228" s="1" t="s">
        <v>92</v>
      </c>
      <c r="D228" s="1" t="s">
        <v>5</v>
      </c>
      <c r="E228" s="2">
        <v>42370.457638888889</v>
      </c>
      <c r="F228" s="1" t="s">
        <v>6</v>
      </c>
      <c r="G228" s="1">
        <v>135276</v>
      </c>
      <c r="H228" s="1">
        <v>26</v>
      </c>
      <c r="I228" s="1" t="s">
        <v>81</v>
      </c>
      <c r="J228" s="1">
        <f>+Table2[[#This Row],[Ventas]]/Table2[[#This Row],[Cantidad]]</f>
        <v>5202.9230769230771</v>
      </c>
      <c r="K228" s="1" t="str">
        <f>+_xlfn.IFS(Table2[[#This Row],[Ventas]]&gt;200000,"Alta", Table2[[#This Row],[Ventas]]&gt;100000,"Media",TRUE,"Bajo")</f>
        <v>Media</v>
      </c>
    </row>
    <row r="229" spans="1:11" x14ac:dyDescent="0.25">
      <c r="A229" s="1" t="s">
        <v>97</v>
      </c>
      <c r="B229" s="1" t="s">
        <v>105</v>
      </c>
      <c r="C229" s="1" t="s">
        <v>92</v>
      </c>
      <c r="D229" s="1" t="s">
        <v>5</v>
      </c>
      <c r="E229" s="2">
        <v>42370.457638888889</v>
      </c>
      <c r="F229" s="1" t="s">
        <v>6</v>
      </c>
      <c r="G229" s="1">
        <v>144362</v>
      </c>
      <c r="H229" s="1">
        <v>24</v>
      </c>
      <c r="I229" s="1" t="s">
        <v>79</v>
      </c>
      <c r="J229" s="1">
        <f>+Table2[[#This Row],[Ventas]]/Table2[[#This Row],[Cantidad]]</f>
        <v>6015.083333333333</v>
      </c>
      <c r="K229" s="1" t="str">
        <f>+_xlfn.IFS(Table2[[#This Row],[Ventas]]&gt;200000,"Alta", Table2[[#This Row],[Ventas]]&gt;100000,"Media",TRUE,"Bajo")</f>
        <v>Media</v>
      </c>
    </row>
    <row r="230" spans="1:11" x14ac:dyDescent="0.25">
      <c r="A230" s="1" t="s">
        <v>97</v>
      </c>
      <c r="B230" s="1" t="s">
        <v>108</v>
      </c>
      <c r="C230" s="1" t="s">
        <v>89</v>
      </c>
      <c r="D230" s="1" t="s">
        <v>9</v>
      </c>
      <c r="E230" s="2">
        <v>42370.457638888889</v>
      </c>
      <c r="F230" s="1" t="s">
        <v>12</v>
      </c>
      <c r="G230" s="1">
        <v>155833</v>
      </c>
      <c r="H230" s="1">
        <v>22</v>
      </c>
      <c r="I230" s="1" t="s">
        <v>79</v>
      </c>
      <c r="J230" s="1">
        <f>+Table2[[#This Row],[Ventas]]/Table2[[#This Row],[Cantidad]]</f>
        <v>7083.318181818182</v>
      </c>
      <c r="K230" s="1" t="str">
        <f>+_xlfn.IFS(Table2[[#This Row],[Ventas]]&gt;200000,"Alta", Table2[[#This Row],[Ventas]]&gt;100000,"Media",TRUE,"Bajo")</f>
        <v>Media</v>
      </c>
    </row>
    <row r="231" spans="1:11" x14ac:dyDescent="0.25">
      <c r="A231" s="1" t="s">
        <v>97</v>
      </c>
      <c r="B231" s="1" t="s">
        <v>43</v>
      </c>
      <c r="C231" s="1" t="s">
        <v>87</v>
      </c>
      <c r="D231" s="1" t="s">
        <v>9</v>
      </c>
      <c r="E231" s="2">
        <v>42370.457638888889</v>
      </c>
      <c r="F231" s="1" t="s">
        <v>12</v>
      </c>
      <c r="G231" s="1">
        <v>177276</v>
      </c>
      <c r="H231" s="1">
        <v>26</v>
      </c>
      <c r="I231" s="1" t="s">
        <v>80</v>
      </c>
      <c r="J231" s="1">
        <f>+Table2[[#This Row],[Ventas]]/Table2[[#This Row],[Cantidad]]</f>
        <v>6818.3076923076924</v>
      </c>
      <c r="K231" s="1" t="str">
        <f>+_xlfn.IFS(Table2[[#This Row],[Ventas]]&gt;200000,"Alta", Table2[[#This Row],[Ventas]]&gt;100000,"Media",TRUE,"Bajo")</f>
        <v>Media</v>
      </c>
    </row>
    <row r="232" spans="1:11" x14ac:dyDescent="0.25">
      <c r="A232" s="1" t="s">
        <v>97</v>
      </c>
      <c r="B232" s="1" t="s">
        <v>149</v>
      </c>
      <c r="C232" s="1" t="s">
        <v>90</v>
      </c>
      <c r="D232" s="1" t="s">
        <v>9</v>
      </c>
      <c r="E232" s="2">
        <v>42370.457638888889</v>
      </c>
      <c r="F232" s="1" t="s">
        <v>6</v>
      </c>
      <c r="G232" s="1">
        <v>86373</v>
      </c>
      <c r="H232" s="1">
        <v>35</v>
      </c>
      <c r="I232" s="1" t="s">
        <v>79</v>
      </c>
      <c r="J232" s="1">
        <f>+Table2[[#This Row],[Ventas]]/Table2[[#This Row],[Cantidad]]</f>
        <v>2467.8000000000002</v>
      </c>
      <c r="K232" s="1" t="str">
        <f>+_xlfn.IFS(Table2[[#This Row],[Ventas]]&gt;200000,"Alta", Table2[[#This Row],[Ventas]]&gt;100000,"Media",TRUE,"Bajo")</f>
        <v>Bajo</v>
      </c>
    </row>
    <row r="233" spans="1:11" x14ac:dyDescent="0.25">
      <c r="A233" s="1" t="s">
        <v>97</v>
      </c>
      <c r="B233" s="1" t="s">
        <v>122</v>
      </c>
      <c r="C233" s="1" t="s">
        <v>92</v>
      </c>
      <c r="D233" s="1" t="s">
        <v>5</v>
      </c>
      <c r="E233" s="2">
        <v>42370.457638888889</v>
      </c>
      <c r="F233" s="1" t="s">
        <v>6</v>
      </c>
      <c r="G233" s="1">
        <v>197645</v>
      </c>
      <c r="H233" s="1">
        <v>21</v>
      </c>
      <c r="I233" s="1" t="s">
        <v>80</v>
      </c>
      <c r="J233" s="1">
        <f>+Table2[[#This Row],[Ventas]]/Table2[[#This Row],[Cantidad]]</f>
        <v>9411.6666666666661</v>
      </c>
      <c r="K233" s="1" t="str">
        <f>+_xlfn.IFS(Table2[[#This Row],[Ventas]]&gt;200000,"Alta", Table2[[#This Row],[Ventas]]&gt;100000,"Media",TRUE,"Bajo")</f>
        <v>Media</v>
      </c>
    </row>
    <row r="234" spans="1:11" x14ac:dyDescent="0.25">
      <c r="A234" s="1" t="s">
        <v>97</v>
      </c>
      <c r="B234" s="1" t="s">
        <v>105</v>
      </c>
      <c r="C234" s="1" t="s">
        <v>92</v>
      </c>
      <c r="D234" s="1" t="s">
        <v>5</v>
      </c>
      <c r="E234" s="2">
        <v>42370.457638888889</v>
      </c>
      <c r="F234" s="1" t="s">
        <v>6</v>
      </c>
      <c r="G234" s="1">
        <v>146128</v>
      </c>
      <c r="H234" s="1">
        <v>19</v>
      </c>
      <c r="I234" s="1" t="s">
        <v>81</v>
      </c>
      <c r="J234" s="1">
        <f>+Table2[[#This Row],[Ventas]]/Table2[[#This Row],[Cantidad]]</f>
        <v>7690.9473684210525</v>
      </c>
      <c r="K234" s="1" t="str">
        <f>+_xlfn.IFS(Table2[[#This Row],[Ventas]]&gt;200000,"Alta", Table2[[#This Row],[Ventas]]&gt;100000,"Media",TRUE,"Bajo")</f>
        <v>Media</v>
      </c>
    </row>
    <row r="235" spans="1:11" x14ac:dyDescent="0.25">
      <c r="A235" s="1" t="s">
        <v>98</v>
      </c>
      <c r="B235" s="1" t="s">
        <v>77</v>
      </c>
      <c r="C235" s="1" t="s">
        <v>92</v>
      </c>
      <c r="D235" s="1" t="s">
        <v>5</v>
      </c>
      <c r="E235" s="2">
        <v>42370.457638888889</v>
      </c>
      <c r="F235" s="1" t="s">
        <v>6</v>
      </c>
      <c r="G235" s="1">
        <v>231733</v>
      </c>
      <c r="H235" s="1">
        <v>30</v>
      </c>
      <c r="I235" s="1" t="s">
        <v>81</v>
      </c>
      <c r="J235" s="1">
        <f>+Table2[[#This Row],[Ventas]]/Table2[[#This Row],[Cantidad]]</f>
        <v>7724.4333333333334</v>
      </c>
      <c r="K235" s="1" t="str">
        <f>+_xlfn.IFS(Table2[[#This Row],[Ventas]]&gt;200000,"Alta", Table2[[#This Row],[Ventas]]&gt;100000,"Media",TRUE,"Bajo")</f>
        <v>Alta</v>
      </c>
    </row>
    <row r="236" spans="1:11" x14ac:dyDescent="0.25">
      <c r="A236" s="1" t="s">
        <v>98</v>
      </c>
      <c r="B236" s="1" t="s">
        <v>108</v>
      </c>
      <c r="C236" s="1" t="s">
        <v>89</v>
      </c>
      <c r="D236" s="1" t="s">
        <v>9</v>
      </c>
      <c r="E236" s="2">
        <v>42370.457638888889</v>
      </c>
      <c r="F236" s="1" t="s">
        <v>12</v>
      </c>
      <c r="G236" s="1">
        <v>72186</v>
      </c>
      <c r="H236" s="1">
        <v>28</v>
      </c>
      <c r="I236" s="1" t="s">
        <v>79</v>
      </c>
      <c r="J236" s="1">
        <f>+Table2[[#This Row],[Ventas]]/Table2[[#This Row],[Cantidad]]</f>
        <v>2578.0714285714284</v>
      </c>
      <c r="K236" s="1" t="str">
        <f>+_xlfn.IFS(Table2[[#This Row],[Ventas]]&gt;200000,"Alta", Table2[[#This Row],[Ventas]]&gt;100000,"Media",TRUE,"Bajo")</f>
        <v>Bajo</v>
      </c>
    </row>
    <row r="237" spans="1:11" x14ac:dyDescent="0.25">
      <c r="A237" s="1" t="s">
        <v>98</v>
      </c>
      <c r="B237" s="1" t="s">
        <v>134</v>
      </c>
      <c r="C237" s="1" t="s">
        <v>87</v>
      </c>
      <c r="D237" s="1" t="s">
        <v>9</v>
      </c>
      <c r="E237" s="2">
        <v>42370.457638888889</v>
      </c>
      <c r="F237" s="1" t="s">
        <v>6</v>
      </c>
      <c r="G237" s="1">
        <v>217989</v>
      </c>
      <c r="H237" s="1">
        <v>17</v>
      </c>
      <c r="I237" s="1" t="s">
        <v>79</v>
      </c>
      <c r="J237" s="1">
        <f>+Table2[[#This Row],[Ventas]]/Table2[[#This Row],[Cantidad]]</f>
        <v>12822.882352941177</v>
      </c>
      <c r="K237" s="1" t="str">
        <f>+_xlfn.IFS(Table2[[#This Row],[Ventas]]&gt;200000,"Alta", Table2[[#This Row],[Ventas]]&gt;100000,"Media",TRUE,"Bajo")</f>
        <v>Alta</v>
      </c>
    </row>
    <row r="238" spans="1:11" x14ac:dyDescent="0.25">
      <c r="A238" s="1" t="s">
        <v>98</v>
      </c>
      <c r="B238" s="1" t="s">
        <v>149</v>
      </c>
      <c r="C238" s="1" t="s">
        <v>90</v>
      </c>
      <c r="D238" s="1" t="s">
        <v>9</v>
      </c>
      <c r="E238" s="2">
        <v>42370.457638888889</v>
      </c>
      <c r="F238" s="1" t="s">
        <v>6</v>
      </c>
      <c r="G238" s="1">
        <v>153172</v>
      </c>
      <c r="H238" s="1">
        <v>29</v>
      </c>
      <c r="I238" s="1" t="s">
        <v>80</v>
      </c>
      <c r="J238" s="1">
        <f>+Table2[[#This Row],[Ventas]]/Table2[[#This Row],[Cantidad]]</f>
        <v>5281.7931034482763</v>
      </c>
      <c r="K238" s="1" t="str">
        <f>+_xlfn.IFS(Table2[[#This Row],[Ventas]]&gt;200000,"Alta", Table2[[#This Row],[Ventas]]&gt;100000,"Media",TRUE,"Bajo")</f>
        <v>Media</v>
      </c>
    </row>
    <row r="239" spans="1:11" x14ac:dyDescent="0.25">
      <c r="A239" s="1" t="s">
        <v>98</v>
      </c>
      <c r="B239" s="1" t="s">
        <v>149</v>
      </c>
      <c r="C239" s="1" t="s">
        <v>90</v>
      </c>
      <c r="D239" s="1" t="s">
        <v>9</v>
      </c>
      <c r="E239" s="2">
        <v>42370.457638888889</v>
      </c>
      <c r="F239" s="1" t="s">
        <v>6</v>
      </c>
      <c r="G239" s="1">
        <v>107859</v>
      </c>
      <c r="H239" s="1">
        <v>17</v>
      </c>
      <c r="I239" s="1" t="s">
        <v>80</v>
      </c>
      <c r="J239" s="1">
        <f>+Table2[[#This Row],[Ventas]]/Table2[[#This Row],[Cantidad]]</f>
        <v>6344.6470588235297</v>
      </c>
      <c r="K239" s="1" t="str">
        <f>+_xlfn.IFS(Table2[[#This Row],[Ventas]]&gt;200000,"Alta", Table2[[#This Row],[Ventas]]&gt;100000,"Media",TRUE,"Bajo")</f>
        <v>Media</v>
      </c>
    </row>
    <row r="240" spans="1:11" x14ac:dyDescent="0.25">
      <c r="A240" s="1" t="s">
        <v>98</v>
      </c>
      <c r="B240" s="1" t="s">
        <v>122</v>
      </c>
      <c r="C240" s="1" t="s">
        <v>92</v>
      </c>
      <c r="D240" s="1" t="s">
        <v>5</v>
      </c>
      <c r="E240" s="2">
        <v>42370.457638888889</v>
      </c>
      <c r="F240" s="1" t="s">
        <v>6</v>
      </c>
      <c r="G240" s="1">
        <v>54920</v>
      </c>
      <c r="H240" s="1">
        <v>15</v>
      </c>
      <c r="I240" s="1" t="s">
        <v>79</v>
      </c>
      <c r="J240" s="1">
        <f>+Table2[[#This Row],[Ventas]]/Table2[[#This Row],[Cantidad]]</f>
        <v>3661.3333333333335</v>
      </c>
      <c r="K240" s="1" t="str">
        <f>+_xlfn.IFS(Table2[[#This Row],[Ventas]]&gt;200000,"Alta", Table2[[#This Row],[Ventas]]&gt;100000,"Media",TRUE,"Bajo")</f>
        <v>Bajo</v>
      </c>
    </row>
    <row r="241" spans="1:11" x14ac:dyDescent="0.25">
      <c r="A241" s="1" t="s">
        <v>98</v>
      </c>
      <c r="B241" s="1" t="s">
        <v>118</v>
      </c>
      <c r="C241" s="1" t="s">
        <v>92</v>
      </c>
      <c r="D241" s="1" t="s">
        <v>5</v>
      </c>
      <c r="E241" s="2">
        <v>42370.457638888889</v>
      </c>
      <c r="F241" s="1" t="s">
        <v>6</v>
      </c>
      <c r="G241" s="1">
        <v>148265</v>
      </c>
      <c r="H241" s="1">
        <v>25</v>
      </c>
      <c r="I241" s="1" t="s">
        <v>79</v>
      </c>
      <c r="J241" s="1">
        <f>+Table2[[#This Row],[Ventas]]/Table2[[#This Row],[Cantidad]]</f>
        <v>5930.6</v>
      </c>
      <c r="K241" s="1" t="str">
        <f>+_xlfn.IFS(Table2[[#This Row],[Ventas]]&gt;200000,"Alta", Table2[[#This Row],[Ventas]]&gt;100000,"Media",TRUE,"Bajo")</f>
        <v>Media</v>
      </c>
    </row>
    <row r="242" spans="1:11" x14ac:dyDescent="0.25">
      <c r="A242" s="1" t="s">
        <v>98</v>
      </c>
      <c r="B242" s="1" t="s">
        <v>108</v>
      </c>
      <c r="C242" s="1" t="s">
        <v>89</v>
      </c>
      <c r="D242" s="1" t="s">
        <v>9</v>
      </c>
      <c r="E242" s="2">
        <v>42370.457638888889</v>
      </c>
      <c r="F242" s="1" t="s">
        <v>12</v>
      </c>
      <c r="G242" s="1">
        <v>61431</v>
      </c>
      <c r="H242" s="1">
        <v>34</v>
      </c>
      <c r="I242" s="1" t="s">
        <v>79</v>
      </c>
      <c r="J242" s="1">
        <f>+Table2[[#This Row],[Ventas]]/Table2[[#This Row],[Cantidad]]</f>
        <v>1806.7941176470588</v>
      </c>
      <c r="K242" s="1" t="str">
        <f>+_xlfn.IFS(Table2[[#This Row],[Ventas]]&gt;200000,"Alta", Table2[[#This Row],[Ventas]]&gt;100000,"Media",TRUE,"Bajo")</f>
        <v>Bajo</v>
      </c>
    </row>
    <row r="243" spans="1:11" x14ac:dyDescent="0.25">
      <c r="A243" s="1" t="s">
        <v>98</v>
      </c>
      <c r="B243" s="1" t="s">
        <v>108</v>
      </c>
      <c r="C243" s="1" t="s">
        <v>89</v>
      </c>
      <c r="D243" s="1" t="s">
        <v>9</v>
      </c>
      <c r="E243" s="2">
        <v>42370.457638888889</v>
      </c>
      <c r="F243" s="1" t="s">
        <v>12</v>
      </c>
      <c r="G243" s="1">
        <v>148488</v>
      </c>
      <c r="H243" s="1">
        <v>20</v>
      </c>
      <c r="I243" s="1" t="s">
        <v>79</v>
      </c>
      <c r="J243" s="1">
        <f>+Table2[[#This Row],[Ventas]]/Table2[[#This Row],[Cantidad]]</f>
        <v>7424.4</v>
      </c>
      <c r="K243" s="1" t="str">
        <f>+_xlfn.IFS(Table2[[#This Row],[Ventas]]&gt;200000,"Alta", Table2[[#This Row],[Ventas]]&gt;100000,"Media",TRUE,"Bajo")</f>
        <v>Media</v>
      </c>
    </row>
    <row r="244" spans="1:11" x14ac:dyDescent="0.25">
      <c r="A244" s="1" t="s">
        <v>98</v>
      </c>
      <c r="B244" s="1" t="s">
        <v>141</v>
      </c>
      <c r="C244" s="1" t="s">
        <v>84</v>
      </c>
      <c r="D244" s="1" t="s">
        <v>5</v>
      </c>
      <c r="E244" s="2">
        <v>42398.457638888889</v>
      </c>
      <c r="F244" s="1" t="s">
        <v>6</v>
      </c>
      <c r="G244" s="1">
        <v>50104</v>
      </c>
      <c r="H244" s="1">
        <v>26</v>
      </c>
      <c r="I244" s="1" t="s">
        <v>93</v>
      </c>
      <c r="J244" s="1">
        <f>+Table2[[#This Row],[Ventas]]/Table2[[#This Row],[Cantidad]]</f>
        <v>1927.0769230769231</v>
      </c>
      <c r="K244" s="1" t="str">
        <f>+_xlfn.IFS(Table2[[#This Row],[Ventas]]&gt;200000,"Alta", Table2[[#This Row],[Ventas]]&gt;100000,"Media",TRUE,"Bajo")</f>
        <v>Bajo</v>
      </c>
    </row>
    <row r="245" spans="1:11" x14ac:dyDescent="0.25">
      <c r="A245" s="1" t="s">
        <v>98</v>
      </c>
      <c r="B245" s="1" t="s">
        <v>43</v>
      </c>
      <c r="C245" s="1" t="s">
        <v>87</v>
      </c>
      <c r="D245" s="1" t="s">
        <v>9</v>
      </c>
      <c r="E245" s="2">
        <v>42370.457638888889</v>
      </c>
      <c r="F245" s="1" t="s">
        <v>12</v>
      </c>
      <c r="G245" s="1">
        <v>126817</v>
      </c>
      <c r="H245" s="1">
        <v>41</v>
      </c>
      <c r="I245" s="1" t="s">
        <v>81</v>
      </c>
      <c r="J245" s="1">
        <f>+Table2[[#This Row],[Ventas]]/Table2[[#This Row],[Cantidad]]</f>
        <v>3093.0975609756097</v>
      </c>
      <c r="K245" s="1" t="str">
        <f>+_xlfn.IFS(Table2[[#This Row],[Ventas]]&gt;200000,"Alta", Table2[[#This Row],[Ventas]]&gt;100000,"Media",TRUE,"Bajo")</f>
        <v>Media</v>
      </c>
    </row>
    <row r="246" spans="1:11" x14ac:dyDescent="0.25">
      <c r="A246" s="1" t="s">
        <v>98</v>
      </c>
      <c r="B246" s="1" t="s">
        <v>134</v>
      </c>
      <c r="C246" s="1" t="s">
        <v>87</v>
      </c>
      <c r="D246" s="1" t="s">
        <v>9</v>
      </c>
      <c r="E246" s="2">
        <v>42370.457638888889</v>
      </c>
      <c r="F246" s="1" t="s">
        <v>6</v>
      </c>
      <c r="G246" s="1">
        <v>130686</v>
      </c>
      <c r="H246" s="1">
        <v>16</v>
      </c>
      <c r="I246" s="1" t="s">
        <v>81</v>
      </c>
      <c r="J246" s="1">
        <f>+Table2[[#This Row],[Ventas]]/Table2[[#This Row],[Cantidad]]</f>
        <v>8167.875</v>
      </c>
      <c r="K246" s="1" t="str">
        <f>+_xlfn.IFS(Table2[[#This Row],[Ventas]]&gt;200000,"Alta", Table2[[#This Row],[Ventas]]&gt;100000,"Media",TRUE,"Bajo")</f>
        <v>Media</v>
      </c>
    </row>
    <row r="247" spans="1:11" x14ac:dyDescent="0.25">
      <c r="A247" s="1" t="s">
        <v>98</v>
      </c>
      <c r="B247" s="1" t="s">
        <v>149</v>
      </c>
      <c r="C247" s="1" t="s">
        <v>90</v>
      </c>
      <c r="D247" s="1" t="s">
        <v>9</v>
      </c>
      <c r="E247" s="2">
        <v>42370.457638888889</v>
      </c>
      <c r="F247" s="1" t="s">
        <v>6</v>
      </c>
      <c r="G247" s="1">
        <v>142419</v>
      </c>
      <c r="H247" s="1">
        <v>22</v>
      </c>
      <c r="I247" s="1" t="s">
        <v>79</v>
      </c>
      <c r="J247" s="1">
        <f>+Table2[[#This Row],[Ventas]]/Table2[[#This Row],[Cantidad]]</f>
        <v>6473.590909090909</v>
      </c>
      <c r="K247" s="1" t="str">
        <f>+_xlfn.IFS(Table2[[#This Row],[Ventas]]&gt;200000,"Alta", Table2[[#This Row],[Ventas]]&gt;100000,"Media",TRUE,"Bajo")</f>
        <v>Media</v>
      </c>
    </row>
    <row r="248" spans="1:11" x14ac:dyDescent="0.25">
      <c r="A248" s="1" t="s">
        <v>98</v>
      </c>
      <c r="B248" s="1" t="s">
        <v>43</v>
      </c>
      <c r="C248" s="1" t="s">
        <v>87</v>
      </c>
      <c r="D248" s="1" t="s">
        <v>9</v>
      </c>
      <c r="E248" s="2">
        <v>42370.457638888889</v>
      </c>
      <c r="F248" s="1" t="s">
        <v>12</v>
      </c>
      <c r="G248" s="1">
        <v>163063</v>
      </c>
      <c r="H248" s="1">
        <v>21</v>
      </c>
      <c r="I248" s="1" t="s">
        <v>79</v>
      </c>
      <c r="J248" s="1">
        <f>+Table2[[#This Row],[Ventas]]/Table2[[#This Row],[Cantidad]]</f>
        <v>7764.9047619047615</v>
      </c>
      <c r="K248" s="1" t="str">
        <f>+_xlfn.IFS(Table2[[#This Row],[Ventas]]&gt;200000,"Alta", Table2[[#This Row],[Ventas]]&gt;100000,"Media",TRUE,"Bajo")</f>
        <v>Media</v>
      </c>
    </row>
    <row r="249" spans="1:11" x14ac:dyDescent="0.25">
      <c r="A249" s="1" t="s">
        <v>98</v>
      </c>
      <c r="B249" s="1" t="s">
        <v>122</v>
      </c>
      <c r="C249" s="1" t="s">
        <v>92</v>
      </c>
      <c r="D249" s="1" t="s">
        <v>5</v>
      </c>
      <c r="E249" s="2">
        <v>42370.457638888889</v>
      </c>
      <c r="F249" s="1" t="s">
        <v>6</v>
      </c>
      <c r="G249" s="1">
        <v>118770</v>
      </c>
      <c r="H249" s="1">
        <v>37</v>
      </c>
      <c r="I249" s="1" t="s">
        <v>79</v>
      </c>
      <c r="J249" s="1">
        <f>+Table2[[#This Row],[Ventas]]/Table2[[#This Row],[Cantidad]]</f>
        <v>3210</v>
      </c>
      <c r="K249" s="1" t="str">
        <f>+_xlfn.IFS(Table2[[#This Row],[Ventas]]&gt;200000,"Alta", Table2[[#This Row],[Ventas]]&gt;100000,"Media",TRUE,"Bajo")</f>
        <v>Media</v>
      </c>
    </row>
    <row r="250" spans="1:11" x14ac:dyDescent="0.25">
      <c r="A250" s="1" t="s">
        <v>98</v>
      </c>
      <c r="B250" s="1" t="s">
        <v>122</v>
      </c>
      <c r="C250" s="1" t="s">
        <v>92</v>
      </c>
      <c r="D250" s="1" t="s">
        <v>5</v>
      </c>
      <c r="E250" s="2">
        <v>42370.457638888889</v>
      </c>
      <c r="F250" s="1" t="s">
        <v>6</v>
      </c>
      <c r="G250" s="1">
        <v>79923</v>
      </c>
      <c r="H250" s="1">
        <v>18</v>
      </c>
      <c r="I250" s="1" t="s">
        <v>82</v>
      </c>
      <c r="J250" s="1">
        <f>+Table2[[#This Row],[Ventas]]/Table2[[#This Row],[Cantidad]]</f>
        <v>4440.166666666667</v>
      </c>
      <c r="K250" s="1" t="str">
        <f>+_xlfn.IFS(Table2[[#This Row],[Ventas]]&gt;200000,"Alta", Table2[[#This Row],[Ventas]]&gt;100000,"Media",TRUE,"Bajo")</f>
        <v>Bajo</v>
      </c>
    </row>
    <row r="251" spans="1:11" x14ac:dyDescent="0.25">
      <c r="A251" s="1" t="s">
        <v>98</v>
      </c>
      <c r="B251" s="1" t="s">
        <v>122</v>
      </c>
      <c r="C251" s="1" t="s">
        <v>92</v>
      </c>
      <c r="D251" s="1" t="s">
        <v>5</v>
      </c>
      <c r="E251" s="2">
        <v>42370.457638888889</v>
      </c>
      <c r="F251" s="1" t="s">
        <v>6</v>
      </c>
      <c r="G251" s="1">
        <v>92676</v>
      </c>
      <c r="H251" s="1">
        <v>39</v>
      </c>
      <c r="I251" s="1" t="s">
        <v>79</v>
      </c>
      <c r="J251" s="1">
        <f>+Table2[[#This Row],[Ventas]]/Table2[[#This Row],[Cantidad]]</f>
        <v>2376.3076923076924</v>
      </c>
      <c r="K251" s="1" t="str">
        <f>+_xlfn.IFS(Table2[[#This Row],[Ventas]]&gt;200000,"Alta", Table2[[#This Row],[Ventas]]&gt;100000,"Media",TRUE,"Bajo")</f>
        <v>Bajo</v>
      </c>
    </row>
    <row r="252" spans="1:11" x14ac:dyDescent="0.25">
      <c r="A252" s="1" t="s">
        <v>98</v>
      </c>
      <c r="B252" s="1" t="s">
        <v>122</v>
      </c>
      <c r="C252" s="1" t="s">
        <v>92</v>
      </c>
      <c r="D252" s="1" t="s">
        <v>5</v>
      </c>
      <c r="E252" s="2">
        <v>42370.457638888889</v>
      </c>
      <c r="F252" s="1" t="s">
        <v>6</v>
      </c>
      <c r="G252" s="1">
        <v>198026</v>
      </c>
      <c r="H252" s="1">
        <v>37</v>
      </c>
      <c r="I252" s="1" t="s">
        <v>81</v>
      </c>
      <c r="J252" s="1">
        <f>+Table2[[#This Row],[Ventas]]/Table2[[#This Row],[Cantidad]]</f>
        <v>5352.0540540540542</v>
      </c>
      <c r="K252" s="1" t="str">
        <f>+_xlfn.IFS(Table2[[#This Row],[Ventas]]&gt;200000,"Alta", Table2[[#This Row],[Ventas]]&gt;100000,"Media",TRUE,"Bajo")</f>
        <v>Media</v>
      </c>
    </row>
    <row r="253" spans="1:11" x14ac:dyDescent="0.25">
      <c r="A253" s="1" t="s">
        <v>98</v>
      </c>
      <c r="B253" s="1" t="s">
        <v>117</v>
      </c>
      <c r="C253" s="1" t="s">
        <v>90</v>
      </c>
      <c r="D253" s="1" t="s">
        <v>9</v>
      </c>
      <c r="E253" s="2">
        <v>42400.457638888889</v>
      </c>
      <c r="F253" s="1" t="s">
        <v>7</v>
      </c>
      <c r="G253" s="1">
        <v>205697</v>
      </c>
      <c r="H253" s="1">
        <v>15</v>
      </c>
      <c r="I253" s="1" t="s">
        <v>81</v>
      </c>
      <c r="J253" s="1">
        <f>+Table2[[#This Row],[Ventas]]/Table2[[#This Row],[Cantidad]]</f>
        <v>13713.133333333333</v>
      </c>
      <c r="K253" s="1" t="str">
        <f>+_xlfn.IFS(Table2[[#This Row],[Ventas]]&gt;200000,"Alta", Table2[[#This Row],[Ventas]]&gt;100000,"Media",TRUE,"Bajo")</f>
        <v>Alta</v>
      </c>
    </row>
    <row r="254" spans="1:11" x14ac:dyDescent="0.25">
      <c r="A254" s="1" t="s">
        <v>98</v>
      </c>
      <c r="B254" s="1" t="s">
        <v>77</v>
      </c>
      <c r="C254" s="1" t="s">
        <v>92</v>
      </c>
      <c r="D254" s="1" t="s">
        <v>5</v>
      </c>
      <c r="E254" s="2">
        <v>42370.457638888889</v>
      </c>
      <c r="F254" s="1" t="s">
        <v>6</v>
      </c>
      <c r="G254" s="1">
        <v>156059</v>
      </c>
      <c r="H254" s="1">
        <v>39</v>
      </c>
      <c r="I254" s="1" t="s">
        <v>81</v>
      </c>
      <c r="J254" s="1">
        <f>+Table2[[#This Row],[Ventas]]/Table2[[#This Row],[Cantidad]]</f>
        <v>4001.5128205128203</v>
      </c>
      <c r="K254" s="1" t="str">
        <f>+_xlfn.IFS(Table2[[#This Row],[Ventas]]&gt;200000,"Alta", Table2[[#This Row],[Ventas]]&gt;100000,"Media",TRUE,"Bajo")</f>
        <v>Media</v>
      </c>
    </row>
    <row r="255" spans="1:11" x14ac:dyDescent="0.25">
      <c r="A255" s="1" t="s">
        <v>98</v>
      </c>
      <c r="B255" s="1" t="s">
        <v>134</v>
      </c>
      <c r="C255" s="1" t="s">
        <v>87</v>
      </c>
      <c r="D255" s="1" t="s">
        <v>9</v>
      </c>
      <c r="E255" s="2">
        <v>42370.457638888889</v>
      </c>
      <c r="F255" s="1" t="s">
        <v>6</v>
      </c>
      <c r="G255" s="1">
        <v>235504</v>
      </c>
      <c r="H255" s="1">
        <v>37</v>
      </c>
      <c r="I255" s="1" t="s">
        <v>79</v>
      </c>
      <c r="J255" s="1">
        <f>+Table2[[#This Row],[Ventas]]/Table2[[#This Row],[Cantidad]]</f>
        <v>6364.9729729729734</v>
      </c>
      <c r="K255" s="1" t="str">
        <f>+_xlfn.IFS(Table2[[#This Row],[Ventas]]&gt;200000,"Alta", Table2[[#This Row],[Ventas]]&gt;100000,"Media",TRUE,"Bajo")</f>
        <v>Alta</v>
      </c>
    </row>
    <row r="256" spans="1:11" x14ac:dyDescent="0.25">
      <c r="A256" s="1" t="s">
        <v>98</v>
      </c>
      <c r="B256" s="1" t="s">
        <v>134</v>
      </c>
      <c r="C256" s="1" t="s">
        <v>87</v>
      </c>
      <c r="D256" s="1" t="s">
        <v>9</v>
      </c>
      <c r="E256" s="2">
        <v>42370.457638888889</v>
      </c>
      <c r="F256" s="1" t="s">
        <v>6</v>
      </c>
      <c r="G256" s="1">
        <v>178682</v>
      </c>
      <c r="H256" s="1">
        <v>37</v>
      </c>
      <c r="I256" s="1" t="s">
        <v>79</v>
      </c>
      <c r="J256" s="1">
        <f>+Table2[[#This Row],[Ventas]]/Table2[[#This Row],[Cantidad]]</f>
        <v>4829.2432432432433</v>
      </c>
      <c r="K256" s="1" t="str">
        <f>+_xlfn.IFS(Table2[[#This Row],[Ventas]]&gt;200000,"Alta", Table2[[#This Row],[Ventas]]&gt;100000,"Media",TRUE,"Bajo")</f>
        <v>Media</v>
      </c>
    </row>
    <row r="257" spans="1:11" x14ac:dyDescent="0.25">
      <c r="A257" s="1" t="s">
        <v>98</v>
      </c>
      <c r="B257" s="1" t="s">
        <v>149</v>
      </c>
      <c r="C257" s="1" t="s">
        <v>90</v>
      </c>
      <c r="D257" s="1" t="s">
        <v>9</v>
      </c>
      <c r="E257" s="2">
        <v>42370.457638888889</v>
      </c>
      <c r="F257" s="1" t="s">
        <v>6</v>
      </c>
      <c r="G257" s="1">
        <v>104201</v>
      </c>
      <c r="H257" s="1">
        <v>41</v>
      </c>
      <c r="I257" s="1" t="s">
        <v>79</v>
      </c>
      <c r="J257" s="1">
        <f>+Table2[[#This Row],[Ventas]]/Table2[[#This Row],[Cantidad]]</f>
        <v>2541.4878048780488</v>
      </c>
      <c r="K257" s="1" t="str">
        <f>+_xlfn.IFS(Table2[[#This Row],[Ventas]]&gt;200000,"Alta", Table2[[#This Row],[Ventas]]&gt;100000,"Media",TRUE,"Bajo")</f>
        <v>Media</v>
      </c>
    </row>
    <row r="258" spans="1:11" x14ac:dyDescent="0.25">
      <c r="A258" s="1" t="s">
        <v>98</v>
      </c>
      <c r="B258" s="1" t="s">
        <v>149</v>
      </c>
      <c r="C258" s="1" t="s">
        <v>90</v>
      </c>
      <c r="D258" s="1" t="s">
        <v>9</v>
      </c>
      <c r="E258" s="2">
        <v>42370.457638888889</v>
      </c>
      <c r="F258" s="1" t="s">
        <v>6</v>
      </c>
      <c r="G258" s="1">
        <v>182312</v>
      </c>
      <c r="H258" s="1">
        <v>36</v>
      </c>
      <c r="I258" s="1" t="s">
        <v>81</v>
      </c>
      <c r="J258" s="1">
        <f>+Table2[[#This Row],[Ventas]]/Table2[[#This Row],[Cantidad]]</f>
        <v>5064.2222222222226</v>
      </c>
      <c r="K258" s="1" t="str">
        <f>+_xlfn.IFS(Table2[[#This Row],[Ventas]]&gt;200000,"Alta", Table2[[#This Row],[Ventas]]&gt;100000,"Media",TRUE,"Bajo")</f>
        <v>Media</v>
      </c>
    </row>
    <row r="259" spans="1:11" x14ac:dyDescent="0.25">
      <c r="A259" s="1" t="s">
        <v>98</v>
      </c>
      <c r="B259" s="1" t="s">
        <v>122</v>
      </c>
      <c r="C259" s="1" t="s">
        <v>92</v>
      </c>
      <c r="D259" s="1" t="s">
        <v>5</v>
      </c>
      <c r="E259" s="2">
        <v>42370.457638888889</v>
      </c>
      <c r="F259" s="1" t="s">
        <v>6</v>
      </c>
      <c r="G259" s="1">
        <v>70148</v>
      </c>
      <c r="H259" s="1">
        <v>27</v>
      </c>
      <c r="I259" s="1" t="s">
        <v>82</v>
      </c>
      <c r="J259" s="1">
        <f>+Table2[[#This Row],[Ventas]]/Table2[[#This Row],[Cantidad]]</f>
        <v>2598.0740740740739</v>
      </c>
      <c r="K259" s="1" t="str">
        <f>+_xlfn.IFS(Table2[[#This Row],[Ventas]]&gt;200000,"Alta", Table2[[#This Row],[Ventas]]&gt;100000,"Media",TRUE,"Bajo")</f>
        <v>Bajo</v>
      </c>
    </row>
    <row r="260" spans="1:11" x14ac:dyDescent="0.25">
      <c r="A260" s="1" t="s">
        <v>98</v>
      </c>
      <c r="B260" s="1" t="s">
        <v>118</v>
      </c>
      <c r="C260" s="1" t="s">
        <v>92</v>
      </c>
      <c r="D260" s="1" t="s">
        <v>5</v>
      </c>
      <c r="E260" s="2">
        <v>42370.457638888889</v>
      </c>
      <c r="F260" s="1" t="s">
        <v>6</v>
      </c>
      <c r="G260" s="1">
        <v>198848</v>
      </c>
      <c r="H260" s="1">
        <v>17</v>
      </c>
      <c r="I260" s="1" t="s">
        <v>79</v>
      </c>
      <c r="J260" s="1">
        <f>+Table2[[#This Row],[Ventas]]/Table2[[#This Row],[Cantidad]]</f>
        <v>11696.941176470587</v>
      </c>
      <c r="K260" s="1" t="str">
        <f>+_xlfn.IFS(Table2[[#This Row],[Ventas]]&gt;200000,"Alta", Table2[[#This Row],[Ventas]]&gt;100000,"Media",TRUE,"Bajo")</f>
        <v>Media</v>
      </c>
    </row>
    <row r="261" spans="1:11" x14ac:dyDescent="0.25">
      <c r="A261" s="1" t="s">
        <v>98</v>
      </c>
      <c r="B261" s="1" t="s">
        <v>118</v>
      </c>
      <c r="C261" s="1" t="s">
        <v>92</v>
      </c>
      <c r="D261" s="1" t="s">
        <v>5</v>
      </c>
      <c r="E261" s="2">
        <v>42370.457638888889</v>
      </c>
      <c r="F261" s="1" t="s">
        <v>6</v>
      </c>
      <c r="G261" s="1">
        <v>97839</v>
      </c>
      <c r="H261" s="1">
        <v>33</v>
      </c>
      <c r="I261" s="1" t="s">
        <v>79</v>
      </c>
      <c r="J261" s="1">
        <f>+Table2[[#This Row],[Ventas]]/Table2[[#This Row],[Cantidad]]</f>
        <v>2964.818181818182</v>
      </c>
      <c r="K261" s="1" t="str">
        <f>+_xlfn.IFS(Table2[[#This Row],[Ventas]]&gt;200000,"Alta", Table2[[#This Row],[Ventas]]&gt;100000,"Media",TRUE,"Bajo")</f>
        <v>Bajo</v>
      </c>
    </row>
    <row r="262" spans="1:11" x14ac:dyDescent="0.25">
      <c r="A262" s="1" t="s">
        <v>98</v>
      </c>
      <c r="B262" s="1" t="s">
        <v>77</v>
      </c>
      <c r="C262" s="1" t="s">
        <v>92</v>
      </c>
      <c r="D262" s="1" t="s">
        <v>5</v>
      </c>
      <c r="E262" s="2">
        <v>42370.457638888889</v>
      </c>
      <c r="F262" s="1" t="s">
        <v>6</v>
      </c>
      <c r="G262" s="1">
        <v>216170</v>
      </c>
      <c r="H262" s="1">
        <v>41</v>
      </c>
      <c r="I262" s="1" t="s">
        <v>81</v>
      </c>
      <c r="J262" s="1">
        <f>+Table2[[#This Row],[Ventas]]/Table2[[#This Row],[Cantidad]]</f>
        <v>5272.4390243902435</v>
      </c>
      <c r="K262" s="1" t="str">
        <f>+_xlfn.IFS(Table2[[#This Row],[Ventas]]&gt;200000,"Alta", Table2[[#This Row],[Ventas]]&gt;100000,"Media",TRUE,"Bajo")</f>
        <v>Alta</v>
      </c>
    </row>
    <row r="263" spans="1:11" x14ac:dyDescent="0.25">
      <c r="A263" s="1" t="s">
        <v>98</v>
      </c>
      <c r="B263" s="1" t="s">
        <v>108</v>
      </c>
      <c r="C263" s="1" t="s">
        <v>89</v>
      </c>
      <c r="D263" s="1" t="s">
        <v>9</v>
      </c>
      <c r="E263" s="2">
        <v>42370.457638888889</v>
      </c>
      <c r="F263" s="1" t="s">
        <v>12</v>
      </c>
      <c r="G263" s="1">
        <v>108246</v>
      </c>
      <c r="H263" s="1">
        <v>30</v>
      </c>
      <c r="I263" s="1" t="s">
        <v>81</v>
      </c>
      <c r="J263" s="1">
        <f>+Table2[[#This Row],[Ventas]]/Table2[[#This Row],[Cantidad]]</f>
        <v>3608.2</v>
      </c>
      <c r="K263" s="1" t="str">
        <f>+_xlfn.IFS(Table2[[#This Row],[Ventas]]&gt;200000,"Alta", Table2[[#This Row],[Ventas]]&gt;100000,"Media",TRUE,"Bajo")</f>
        <v>Media</v>
      </c>
    </row>
    <row r="264" spans="1:11" x14ac:dyDescent="0.25">
      <c r="A264" s="1" t="s">
        <v>98</v>
      </c>
      <c r="B264" s="1" t="s">
        <v>43</v>
      </c>
      <c r="C264" s="1" t="s">
        <v>87</v>
      </c>
      <c r="D264" s="1" t="s">
        <v>9</v>
      </c>
      <c r="E264" s="2">
        <v>42370.457638888889</v>
      </c>
      <c r="F264" s="1" t="s">
        <v>12</v>
      </c>
      <c r="G264" s="1">
        <v>231674</v>
      </c>
      <c r="H264" s="1">
        <v>21</v>
      </c>
      <c r="I264" s="1" t="s">
        <v>79</v>
      </c>
      <c r="J264" s="1">
        <f>+Table2[[#This Row],[Ventas]]/Table2[[#This Row],[Cantidad]]</f>
        <v>11032.095238095239</v>
      </c>
      <c r="K264" s="1" t="str">
        <f>+_xlfn.IFS(Table2[[#This Row],[Ventas]]&gt;200000,"Alta", Table2[[#This Row],[Ventas]]&gt;100000,"Media",TRUE,"Bajo")</f>
        <v>Alta</v>
      </c>
    </row>
    <row r="265" spans="1:11" x14ac:dyDescent="0.25">
      <c r="A265" s="1" t="s">
        <v>98</v>
      </c>
      <c r="B265" s="1" t="s">
        <v>134</v>
      </c>
      <c r="C265" s="1" t="s">
        <v>87</v>
      </c>
      <c r="D265" s="1" t="s">
        <v>9</v>
      </c>
      <c r="E265" s="2">
        <v>42370.457638888889</v>
      </c>
      <c r="F265" s="1" t="s">
        <v>6</v>
      </c>
      <c r="G265" s="1">
        <v>122061</v>
      </c>
      <c r="H265" s="1">
        <v>24</v>
      </c>
      <c r="I265" s="1" t="s">
        <v>80</v>
      </c>
      <c r="J265" s="1">
        <f>+Table2[[#This Row],[Ventas]]/Table2[[#This Row],[Cantidad]]</f>
        <v>5085.875</v>
      </c>
      <c r="K265" s="1" t="str">
        <f>+_xlfn.IFS(Table2[[#This Row],[Ventas]]&gt;200000,"Alta", Table2[[#This Row],[Ventas]]&gt;100000,"Media",TRUE,"Bajo")</f>
        <v>Media</v>
      </c>
    </row>
    <row r="266" spans="1:11" x14ac:dyDescent="0.25">
      <c r="A266" s="1" t="s">
        <v>98</v>
      </c>
      <c r="B266" s="1" t="s">
        <v>108</v>
      </c>
      <c r="C266" s="1" t="s">
        <v>89</v>
      </c>
      <c r="D266" s="1" t="s">
        <v>9</v>
      </c>
      <c r="E266" s="2">
        <v>42370.457638888889</v>
      </c>
      <c r="F266" s="1" t="s">
        <v>12</v>
      </c>
      <c r="G266" s="1">
        <v>149238</v>
      </c>
      <c r="H266" s="1">
        <v>40</v>
      </c>
      <c r="I266" s="1" t="s">
        <v>81</v>
      </c>
      <c r="J266" s="1">
        <f>+Table2[[#This Row],[Ventas]]/Table2[[#This Row],[Cantidad]]</f>
        <v>3730.95</v>
      </c>
      <c r="K266" s="1" t="str">
        <f>+_xlfn.IFS(Table2[[#This Row],[Ventas]]&gt;200000,"Alta", Table2[[#This Row],[Ventas]]&gt;100000,"Media",TRUE,"Bajo")</f>
        <v>Media</v>
      </c>
    </row>
    <row r="267" spans="1:11" x14ac:dyDescent="0.25">
      <c r="A267" s="1" t="s">
        <v>98</v>
      </c>
      <c r="B267" s="1" t="s">
        <v>108</v>
      </c>
      <c r="C267" s="1" t="s">
        <v>89</v>
      </c>
      <c r="D267" s="1" t="s">
        <v>9</v>
      </c>
      <c r="E267" s="2">
        <v>42370.457638888889</v>
      </c>
      <c r="F267" s="1" t="s">
        <v>12</v>
      </c>
      <c r="G267" s="1">
        <v>61706</v>
      </c>
      <c r="H267" s="1">
        <v>18</v>
      </c>
      <c r="I267" s="1" t="s">
        <v>79</v>
      </c>
      <c r="J267" s="1">
        <f>+Table2[[#This Row],[Ventas]]/Table2[[#This Row],[Cantidad]]</f>
        <v>3428.1111111111113</v>
      </c>
      <c r="K267" s="1" t="str">
        <f>+_xlfn.IFS(Table2[[#This Row],[Ventas]]&gt;200000,"Alta", Table2[[#This Row],[Ventas]]&gt;100000,"Media",TRUE,"Bajo")</f>
        <v>Bajo</v>
      </c>
    </row>
    <row r="268" spans="1:11" x14ac:dyDescent="0.25">
      <c r="A268" s="1" t="s">
        <v>98</v>
      </c>
      <c r="B268" s="1" t="s">
        <v>43</v>
      </c>
      <c r="C268" s="1" t="s">
        <v>87</v>
      </c>
      <c r="D268" s="1" t="s">
        <v>9</v>
      </c>
      <c r="E268" s="2">
        <v>42370.457638888889</v>
      </c>
      <c r="F268" s="1" t="s">
        <v>12</v>
      </c>
      <c r="G268" s="1">
        <v>158075</v>
      </c>
      <c r="H268" s="1">
        <v>17</v>
      </c>
      <c r="I268" s="1" t="s">
        <v>79</v>
      </c>
      <c r="J268" s="1">
        <f>+Table2[[#This Row],[Ventas]]/Table2[[#This Row],[Cantidad]]</f>
        <v>9298.5294117647063</v>
      </c>
      <c r="K268" s="1" t="str">
        <f>+_xlfn.IFS(Table2[[#This Row],[Ventas]]&gt;200000,"Alta", Table2[[#This Row],[Ventas]]&gt;100000,"Media",TRUE,"Bajo")</f>
        <v>Media</v>
      </c>
    </row>
    <row r="269" spans="1:11" x14ac:dyDescent="0.25">
      <c r="A269" s="1" t="s">
        <v>98</v>
      </c>
      <c r="B269" s="1" t="s">
        <v>43</v>
      </c>
      <c r="C269" s="1" t="s">
        <v>87</v>
      </c>
      <c r="D269" s="1" t="s">
        <v>9</v>
      </c>
      <c r="E269" s="2">
        <v>42370.457638888889</v>
      </c>
      <c r="F269" s="1" t="s">
        <v>12</v>
      </c>
      <c r="G269" s="1">
        <v>187416</v>
      </c>
      <c r="H269" s="1">
        <v>32</v>
      </c>
      <c r="I269" s="1" t="s">
        <v>79</v>
      </c>
      <c r="J269" s="1">
        <f>+Table2[[#This Row],[Ventas]]/Table2[[#This Row],[Cantidad]]</f>
        <v>5856.75</v>
      </c>
      <c r="K269" s="1" t="str">
        <f>+_xlfn.IFS(Table2[[#This Row],[Ventas]]&gt;200000,"Alta", Table2[[#This Row],[Ventas]]&gt;100000,"Media",TRUE,"Bajo")</f>
        <v>Media</v>
      </c>
    </row>
    <row r="270" spans="1:11" x14ac:dyDescent="0.25">
      <c r="A270" s="1" t="s">
        <v>98</v>
      </c>
      <c r="B270" s="1" t="s">
        <v>149</v>
      </c>
      <c r="C270" s="1" t="s">
        <v>90</v>
      </c>
      <c r="D270" s="1" t="s">
        <v>9</v>
      </c>
      <c r="E270" s="2">
        <v>42370.457638888889</v>
      </c>
      <c r="F270" s="1" t="s">
        <v>6</v>
      </c>
      <c r="G270" s="1">
        <v>156090</v>
      </c>
      <c r="H270" s="1">
        <v>23</v>
      </c>
      <c r="I270" s="1" t="s">
        <v>79</v>
      </c>
      <c r="J270" s="1">
        <f>+Table2[[#This Row],[Ventas]]/Table2[[#This Row],[Cantidad]]</f>
        <v>6786.521739130435</v>
      </c>
      <c r="K270" s="1" t="str">
        <f>+_xlfn.IFS(Table2[[#This Row],[Ventas]]&gt;200000,"Alta", Table2[[#This Row],[Ventas]]&gt;100000,"Media",TRUE,"Bajo")</f>
        <v>Media</v>
      </c>
    </row>
    <row r="271" spans="1:11" x14ac:dyDescent="0.25">
      <c r="A271" s="1" t="s">
        <v>98</v>
      </c>
      <c r="B271" s="1" t="s">
        <v>77</v>
      </c>
      <c r="C271" s="1" t="s">
        <v>92</v>
      </c>
      <c r="D271" s="1" t="s">
        <v>5</v>
      </c>
      <c r="E271" s="2">
        <v>42370.457638888889</v>
      </c>
      <c r="F271" s="1" t="s">
        <v>6</v>
      </c>
      <c r="G271" s="1">
        <v>134468</v>
      </c>
      <c r="H271" s="1">
        <v>35</v>
      </c>
      <c r="I271" s="1" t="s">
        <v>79</v>
      </c>
      <c r="J271" s="1">
        <f>+Table2[[#This Row],[Ventas]]/Table2[[#This Row],[Cantidad]]</f>
        <v>3841.9428571428571</v>
      </c>
      <c r="K271" s="1" t="str">
        <f>+_xlfn.IFS(Table2[[#This Row],[Ventas]]&gt;200000,"Alta", Table2[[#This Row],[Ventas]]&gt;100000,"Media",TRUE,"Bajo")</f>
        <v>Media</v>
      </c>
    </row>
    <row r="272" spans="1:11" x14ac:dyDescent="0.25">
      <c r="A272" s="1" t="s">
        <v>98</v>
      </c>
      <c r="B272" s="1" t="s">
        <v>77</v>
      </c>
      <c r="C272" s="1" t="s">
        <v>92</v>
      </c>
      <c r="D272" s="1" t="s">
        <v>5</v>
      </c>
      <c r="E272" s="2">
        <v>42370.457638888889</v>
      </c>
      <c r="F272" s="1" t="s">
        <v>6</v>
      </c>
      <c r="G272" s="1">
        <v>186335</v>
      </c>
      <c r="H272" s="1">
        <v>16</v>
      </c>
      <c r="I272" s="1" t="s">
        <v>81</v>
      </c>
      <c r="J272" s="1">
        <f>+Table2[[#This Row],[Ventas]]/Table2[[#This Row],[Cantidad]]</f>
        <v>11645.9375</v>
      </c>
      <c r="K272" s="1" t="str">
        <f>+_xlfn.IFS(Table2[[#This Row],[Ventas]]&gt;200000,"Alta", Table2[[#This Row],[Ventas]]&gt;100000,"Media",TRUE,"Bajo")</f>
        <v>Media</v>
      </c>
    </row>
    <row r="273" spans="1:11" x14ac:dyDescent="0.25">
      <c r="A273" s="1" t="s">
        <v>98</v>
      </c>
      <c r="B273" s="1" t="s">
        <v>108</v>
      </c>
      <c r="C273" s="1" t="s">
        <v>89</v>
      </c>
      <c r="D273" s="1" t="s">
        <v>9</v>
      </c>
      <c r="E273" s="2">
        <v>42370.457638888889</v>
      </c>
      <c r="F273" s="1" t="s">
        <v>12</v>
      </c>
      <c r="G273" s="1">
        <v>54228</v>
      </c>
      <c r="H273" s="1">
        <v>37</v>
      </c>
      <c r="I273" s="1" t="s">
        <v>82</v>
      </c>
      <c r="J273" s="1">
        <f>+Table2[[#This Row],[Ventas]]/Table2[[#This Row],[Cantidad]]</f>
        <v>1465.6216216216217</v>
      </c>
      <c r="K273" s="1" t="str">
        <f>+_xlfn.IFS(Table2[[#This Row],[Ventas]]&gt;200000,"Alta", Table2[[#This Row],[Ventas]]&gt;100000,"Media",TRUE,"Bajo")</f>
        <v>Bajo</v>
      </c>
    </row>
    <row r="274" spans="1:11" x14ac:dyDescent="0.25">
      <c r="A274" s="1" t="s">
        <v>98</v>
      </c>
      <c r="B274" s="1" t="s">
        <v>134</v>
      </c>
      <c r="C274" s="1" t="s">
        <v>87</v>
      </c>
      <c r="D274" s="1" t="s">
        <v>9</v>
      </c>
      <c r="E274" s="2">
        <v>42370.457638888889</v>
      </c>
      <c r="F274" s="1" t="s">
        <v>6</v>
      </c>
      <c r="G274" s="1">
        <v>166714</v>
      </c>
      <c r="H274" s="1">
        <v>24</v>
      </c>
      <c r="I274" s="1" t="s">
        <v>79</v>
      </c>
      <c r="J274" s="1">
        <f>+Table2[[#This Row],[Ventas]]/Table2[[#This Row],[Cantidad]]</f>
        <v>6946.416666666667</v>
      </c>
      <c r="K274" s="1" t="str">
        <f>+_xlfn.IFS(Table2[[#This Row],[Ventas]]&gt;200000,"Alta", Table2[[#This Row],[Ventas]]&gt;100000,"Media",TRUE,"Bajo")</f>
        <v>Media</v>
      </c>
    </row>
    <row r="275" spans="1:11" x14ac:dyDescent="0.25">
      <c r="A275" s="1" t="s">
        <v>99</v>
      </c>
      <c r="B275" s="1" t="s">
        <v>122</v>
      </c>
      <c r="C275" s="1" t="s">
        <v>92</v>
      </c>
      <c r="D275" s="1" t="s">
        <v>5</v>
      </c>
      <c r="E275" s="2">
        <v>42370.457638888889</v>
      </c>
      <c r="F275" s="1" t="s">
        <v>6</v>
      </c>
      <c r="G275" s="1">
        <v>234301</v>
      </c>
      <c r="H275" s="1">
        <v>19</v>
      </c>
      <c r="I275" s="1" t="s">
        <v>79</v>
      </c>
      <c r="J275" s="1">
        <f>+Table2[[#This Row],[Ventas]]/Table2[[#This Row],[Cantidad]]</f>
        <v>12331.631578947368</v>
      </c>
      <c r="K275" s="1" t="str">
        <f>+_xlfn.IFS(Table2[[#This Row],[Ventas]]&gt;200000,"Alta", Table2[[#This Row],[Ventas]]&gt;100000,"Media",TRUE,"Bajo")</f>
        <v>Alta</v>
      </c>
    </row>
    <row r="276" spans="1:11" x14ac:dyDescent="0.25">
      <c r="A276" s="1" t="s">
        <v>99</v>
      </c>
      <c r="B276" s="1" t="s">
        <v>122</v>
      </c>
      <c r="C276" s="1" t="s">
        <v>92</v>
      </c>
      <c r="D276" s="1" t="s">
        <v>5</v>
      </c>
      <c r="E276" s="2">
        <v>42370.457638888889</v>
      </c>
      <c r="F276" s="1" t="s">
        <v>6</v>
      </c>
      <c r="G276" s="1">
        <v>52351</v>
      </c>
      <c r="H276" s="1">
        <v>30</v>
      </c>
      <c r="I276" s="1" t="s">
        <v>81</v>
      </c>
      <c r="J276" s="1">
        <f>+Table2[[#This Row],[Ventas]]/Table2[[#This Row],[Cantidad]]</f>
        <v>1745.0333333333333</v>
      </c>
      <c r="K276" s="1" t="str">
        <f>+_xlfn.IFS(Table2[[#This Row],[Ventas]]&gt;200000,"Alta", Table2[[#This Row],[Ventas]]&gt;100000,"Media",TRUE,"Bajo")</f>
        <v>Bajo</v>
      </c>
    </row>
    <row r="277" spans="1:11" x14ac:dyDescent="0.25">
      <c r="A277" s="1" t="s">
        <v>99</v>
      </c>
      <c r="B277" s="1" t="s">
        <v>118</v>
      </c>
      <c r="C277" s="1" t="s">
        <v>92</v>
      </c>
      <c r="D277" s="1" t="s">
        <v>5</v>
      </c>
      <c r="E277" s="2">
        <v>42370.457638888889</v>
      </c>
      <c r="F277" s="1" t="s">
        <v>6</v>
      </c>
      <c r="G277" s="1">
        <v>227701</v>
      </c>
      <c r="H277" s="1">
        <v>37</v>
      </c>
      <c r="I277" s="1" t="s">
        <v>80</v>
      </c>
      <c r="J277" s="1">
        <f>+Table2[[#This Row],[Ventas]]/Table2[[#This Row],[Cantidad]]</f>
        <v>6154.0810810810808</v>
      </c>
      <c r="K277" s="1" t="str">
        <f>+_xlfn.IFS(Table2[[#This Row],[Ventas]]&gt;200000,"Alta", Table2[[#This Row],[Ventas]]&gt;100000,"Media",TRUE,"Bajo")</f>
        <v>Alta</v>
      </c>
    </row>
    <row r="278" spans="1:11" x14ac:dyDescent="0.25">
      <c r="A278" s="1" t="s">
        <v>99</v>
      </c>
      <c r="B278" s="1" t="s">
        <v>77</v>
      </c>
      <c r="C278" s="1" t="s">
        <v>92</v>
      </c>
      <c r="D278" s="1" t="s">
        <v>5</v>
      </c>
      <c r="E278" s="2">
        <v>42370.457638888889</v>
      </c>
      <c r="F278" s="1" t="s">
        <v>6</v>
      </c>
      <c r="G278" s="1">
        <v>213418</v>
      </c>
      <c r="H278" s="1">
        <v>30</v>
      </c>
      <c r="I278" s="1" t="s">
        <v>81</v>
      </c>
      <c r="J278" s="1">
        <f>+Table2[[#This Row],[Ventas]]/Table2[[#This Row],[Cantidad]]</f>
        <v>7113.9333333333334</v>
      </c>
      <c r="K278" s="1" t="str">
        <f>+_xlfn.IFS(Table2[[#This Row],[Ventas]]&gt;200000,"Alta", Table2[[#This Row],[Ventas]]&gt;100000,"Media",TRUE,"Bajo")</f>
        <v>Alta</v>
      </c>
    </row>
    <row r="279" spans="1:11" x14ac:dyDescent="0.25">
      <c r="A279" s="1" t="s">
        <v>99</v>
      </c>
      <c r="B279" s="1" t="s">
        <v>108</v>
      </c>
      <c r="C279" s="1" t="s">
        <v>89</v>
      </c>
      <c r="D279" s="1" t="s">
        <v>9</v>
      </c>
      <c r="E279" s="2">
        <v>42370.457638888889</v>
      </c>
      <c r="F279" s="1" t="s">
        <v>12</v>
      </c>
      <c r="G279" s="1">
        <v>195357</v>
      </c>
      <c r="H279" s="1">
        <v>30</v>
      </c>
      <c r="I279" s="1" t="s">
        <v>81</v>
      </c>
      <c r="J279" s="1">
        <f>+Table2[[#This Row],[Ventas]]/Table2[[#This Row],[Cantidad]]</f>
        <v>6511.9</v>
      </c>
      <c r="K279" s="1" t="str">
        <f>+_xlfn.IFS(Table2[[#This Row],[Ventas]]&gt;200000,"Alta", Table2[[#This Row],[Ventas]]&gt;100000,"Media",TRUE,"Bajo")</f>
        <v>Media</v>
      </c>
    </row>
    <row r="280" spans="1:11" x14ac:dyDescent="0.25">
      <c r="A280" s="1" t="s">
        <v>99</v>
      </c>
      <c r="B280" s="1" t="s">
        <v>108</v>
      </c>
      <c r="C280" s="1" t="s">
        <v>89</v>
      </c>
      <c r="D280" s="1" t="s">
        <v>9</v>
      </c>
      <c r="E280" s="2">
        <v>42370.457638888889</v>
      </c>
      <c r="F280" s="1" t="s">
        <v>12</v>
      </c>
      <c r="G280" s="1">
        <v>180157</v>
      </c>
      <c r="H280" s="1">
        <v>40</v>
      </c>
      <c r="I280" s="1" t="s">
        <v>79</v>
      </c>
      <c r="J280" s="1">
        <f>+Table2[[#This Row],[Ventas]]/Table2[[#This Row],[Cantidad]]</f>
        <v>4503.9250000000002</v>
      </c>
      <c r="K280" s="1" t="str">
        <f>+_xlfn.IFS(Table2[[#This Row],[Ventas]]&gt;200000,"Alta", Table2[[#This Row],[Ventas]]&gt;100000,"Media",TRUE,"Bajo")</f>
        <v>Media</v>
      </c>
    </row>
    <row r="281" spans="1:11" x14ac:dyDescent="0.25">
      <c r="A281" s="1" t="s">
        <v>99</v>
      </c>
      <c r="B281" s="1" t="s">
        <v>122</v>
      </c>
      <c r="C281" s="1" t="s">
        <v>92</v>
      </c>
      <c r="D281" s="1" t="s">
        <v>5</v>
      </c>
      <c r="E281" s="2">
        <v>42370.457638888889</v>
      </c>
      <c r="F281" s="1" t="s">
        <v>6</v>
      </c>
      <c r="G281" s="1">
        <v>83073</v>
      </c>
      <c r="H281" s="1">
        <v>28</v>
      </c>
      <c r="I281" s="1" t="s">
        <v>81</v>
      </c>
      <c r="J281" s="1">
        <f>+Table2[[#This Row],[Ventas]]/Table2[[#This Row],[Cantidad]]</f>
        <v>2966.8928571428573</v>
      </c>
      <c r="K281" s="1" t="str">
        <f>+_xlfn.IFS(Table2[[#This Row],[Ventas]]&gt;200000,"Alta", Table2[[#This Row],[Ventas]]&gt;100000,"Media",TRUE,"Bajo")</f>
        <v>Bajo</v>
      </c>
    </row>
    <row r="282" spans="1:11" x14ac:dyDescent="0.25">
      <c r="A282" s="1" t="s">
        <v>99</v>
      </c>
      <c r="B282" s="1" t="s">
        <v>133</v>
      </c>
      <c r="C282" s="1" t="s">
        <v>92</v>
      </c>
      <c r="D282" s="1" t="s">
        <v>5</v>
      </c>
      <c r="E282" s="2">
        <v>42398.457638888889</v>
      </c>
      <c r="F282" s="1" t="s">
        <v>6</v>
      </c>
      <c r="G282" s="1">
        <v>183188</v>
      </c>
      <c r="H282" s="1">
        <v>23</v>
      </c>
      <c r="I282" s="1" t="s">
        <v>93</v>
      </c>
      <c r="J282" s="1">
        <f>+Table2[[#This Row],[Ventas]]/Table2[[#This Row],[Cantidad]]</f>
        <v>7964.695652173913</v>
      </c>
      <c r="K282" s="1" t="str">
        <f>+_xlfn.IFS(Table2[[#This Row],[Ventas]]&gt;200000,"Alta", Table2[[#This Row],[Ventas]]&gt;100000,"Media",TRUE,"Bajo")</f>
        <v>Media</v>
      </c>
    </row>
    <row r="283" spans="1:11" x14ac:dyDescent="0.25">
      <c r="A283" s="1" t="s">
        <v>99</v>
      </c>
      <c r="B283" s="1" t="s">
        <v>108</v>
      </c>
      <c r="C283" s="1" t="s">
        <v>89</v>
      </c>
      <c r="D283" s="1" t="s">
        <v>9</v>
      </c>
      <c r="E283" s="2">
        <v>42370.457638888889</v>
      </c>
      <c r="F283" s="1" t="s">
        <v>12</v>
      </c>
      <c r="G283" s="1">
        <v>137884</v>
      </c>
      <c r="H283" s="1">
        <v>29</v>
      </c>
      <c r="I283" s="1" t="s">
        <v>79</v>
      </c>
      <c r="J283" s="1">
        <f>+Table2[[#This Row],[Ventas]]/Table2[[#This Row],[Cantidad]]</f>
        <v>4754.6206896551721</v>
      </c>
      <c r="K283" s="1" t="str">
        <f>+_xlfn.IFS(Table2[[#This Row],[Ventas]]&gt;200000,"Alta", Table2[[#This Row],[Ventas]]&gt;100000,"Media",TRUE,"Bajo")</f>
        <v>Media</v>
      </c>
    </row>
    <row r="284" spans="1:11" x14ac:dyDescent="0.25">
      <c r="A284" s="1" t="s">
        <v>99</v>
      </c>
      <c r="B284" s="1" t="s">
        <v>149</v>
      </c>
      <c r="C284" s="1" t="s">
        <v>90</v>
      </c>
      <c r="D284" s="1" t="s">
        <v>9</v>
      </c>
      <c r="E284" s="2">
        <v>42370.457638888889</v>
      </c>
      <c r="F284" s="1" t="s">
        <v>6</v>
      </c>
      <c r="G284" s="1">
        <v>141610</v>
      </c>
      <c r="H284" s="1">
        <v>15</v>
      </c>
      <c r="I284" s="1" t="s">
        <v>79</v>
      </c>
      <c r="J284" s="1">
        <f>+Table2[[#This Row],[Ventas]]/Table2[[#This Row],[Cantidad]]</f>
        <v>9440.6666666666661</v>
      </c>
      <c r="K284" s="1" t="str">
        <f>+_xlfn.IFS(Table2[[#This Row],[Ventas]]&gt;200000,"Alta", Table2[[#This Row],[Ventas]]&gt;100000,"Media",TRUE,"Bajo")</f>
        <v>Media</v>
      </c>
    </row>
    <row r="285" spans="1:11" x14ac:dyDescent="0.25">
      <c r="A285" s="1" t="s">
        <v>99</v>
      </c>
      <c r="B285" s="1" t="s">
        <v>122</v>
      </c>
      <c r="C285" s="1" t="s">
        <v>92</v>
      </c>
      <c r="D285" s="1" t="s">
        <v>5</v>
      </c>
      <c r="E285" s="2">
        <v>42370.457638888889</v>
      </c>
      <c r="F285" s="1" t="s">
        <v>6</v>
      </c>
      <c r="G285" s="1">
        <v>123546</v>
      </c>
      <c r="H285" s="1">
        <v>41</v>
      </c>
      <c r="I285" s="1" t="s">
        <v>81</v>
      </c>
      <c r="J285" s="1">
        <f>+Table2[[#This Row],[Ventas]]/Table2[[#This Row],[Cantidad]]</f>
        <v>3013.3170731707319</v>
      </c>
      <c r="K285" s="1" t="str">
        <f>+_xlfn.IFS(Table2[[#This Row],[Ventas]]&gt;200000,"Alta", Table2[[#This Row],[Ventas]]&gt;100000,"Media",TRUE,"Bajo")</f>
        <v>Media</v>
      </c>
    </row>
    <row r="286" spans="1:11" x14ac:dyDescent="0.25">
      <c r="A286" s="1" t="s">
        <v>99</v>
      </c>
      <c r="B286" s="1" t="s">
        <v>118</v>
      </c>
      <c r="C286" s="1" t="s">
        <v>92</v>
      </c>
      <c r="D286" s="1" t="s">
        <v>5</v>
      </c>
      <c r="E286" s="2">
        <v>42370.457638888889</v>
      </c>
      <c r="F286" s="1" t="s">
        <v>6</v>
      </c>
      <c r="G286" s="1">
        <v>68964</v>
      </c>
      <c r="H286" s="1">
        <v>18</v>
      </c>
      <c r="I286" s="1" t="s">
        <v>81</v>
      </c>
      <c r="J286" s="1">
        <f>+Table2[[#This Row],[Ventas]]/Table2[[#This Row],[Cantidad]]</f>
        <v>3831.3333333333335</v>
      </c>
      <c r="K286" s="1" t="str">
        <f>+_xlfn.IFS(Table2[[#This Row],[Ventas]]&gt;200000,"Alta", Table2[[#This Row],[Ventas]]&gt;100000,"Media",TRUE,"Bajo")</f>
        <v>Bajo</v>
      </c>
    </row>
    <row r="287" spans="1:11" x14ac:dyDescent="0.25">
      <c r="A287" s="1" t="s">
        <v>99</v>
      </c>
      <c r="B287" s="1" t="s">
        <v>77</v>
      </c>
      <c r="C287" s="1" t="s">
        <v>92</v>
      </c>
      <c r="D287" s="1" t="s">
        <v>5</v>
      </c>
      <c r="E287" s="2">
        <v>42370.457638888889</v>
      </c>
      <c r="F287" s="1" t="s">
        <v>6</v>
      </c>
      <c r="G287" s="1">
        <v>183631</v>
      </c>
      <c r="H287" s="1">
        <v>16</v>
      </c>
      <c r="I287" s="1" t="s">
        <v>79</v>
      </c>
      <c r="J287" s="1">
        <f>+Table2[[#This Row],[Ventas]]/Table2[[#This Row],[Cantidad]]</f>
        <v>11476.9375</v>
      </c>
      <c r="K287" s="1" t="str">
        <f>+_xlfn.IFS(Table2[[#This Row],[Ventas]]&gt;200000,"Alta", Table2[[#This Row],[Ventas]]&gt;100000,"Media",TRUE,"Bajo")</f>
        <v>Media</v>
      </c>
    </row>
    <row r="288" spans="1:11" x14ac:dyDescent="0.25">
      <c r="A288" s="1" t="s">
        <v>99</v>
      </c>
      <c r="B288" s="1" t="s">
        <v>43</v>
      </c>
      <c r="C288" s="1" t="s">
        <v>87</v>
      </c>
      <c r="D288" s="1" t="s">
        <v>9</v>
      </c>
      <c r="E288" s="2">
        <v>42370.457638888889</v>
      </c>
      <c r="F288" s="1" t="s">
        <v>12</v>
      </c>
      <c r="G288" s="1">
        <v>163096</v>
      </c>
      <c r="H288" s="1">
        <v>30</v>
      </c>
      <c r="I288" s="1" t="s">
        <v>81</v>
      </c>
      <c r="J288" s="1">
        <f>+Table2[[#This Row],[Ventas]]/Table2[[#This Row],[Cantidad]]</f>
        <v>5436.5333333333338</v>
      </c>
      <c r="K288" s="1" t="str">
        <f>+_xlfn.IFS(Table2[[#This Row],[Ventas]]&gt;200000,"Alta", Table2[[#This Row],[Ventas]]&gt;100000,"Media",TRUE,"Bajo")</f>
        <v>Media</v>
      </c>
    </row>
    <row r="289" spans="1:11" x14ac:dyDescent="0.25">
      <c r="A289" s="1" t="s">
        <v>99</v>
      </c>
      <c r="B289" s="1" t="s">
        <v>134</v>
      </c>
      <c r="C289" s="1" t="s">
        <v>87</v>
      </c>
      <c r="D289" s="1" t="s">
        <v>9</v>
      </c>
      <c r="E289" s="2">
        <v>42370.457638888889</v>
      </c>
      <c r="F289" s="1" t="s">
        <v>6</v>
      </c>
      <c r="G289" s="1">
        <v>89022</v>
      </c>
      <c r="H289" s="1">
        <v>38</v>
      </c>
      <c r="I289" s="1" t="s">
        <v>79</v>
      </c>
      <c r="J289" s="1">
        <f>+Table2[[#This Row],[Ventas]]/Table2[[#This Row],[Cantidad]]</f>
        <v>2342.6842105263158</v>
      </c>
      <c r="K289" s="1" t="str">
        <f>+_xlfn.IFS(Table2[[#This Row],[Ventas]]&gt;200000,"Alta", Table2[[#This Row],[Ventas]]&gt;100000,"Media",TRUE,"Bajo")</f>
        <v>Bajo</v>
      </c>
    </row>
    <row r="290" spans="1:11" x14ac:dyDescent="0.25">
      <c r="A290" s="1" t="s">
        <v>99</v>
      </c>
      <c r="B290" s="1" t="s">
        <v>122</v>
      </c>
      <c r="C290" s="1" t="s">
        <v>92</v>
      </c>
      <c r="D290" s="1" t="s">
        <v>5</v>
      </c>
      <c r="E290" s="2">
        <v>42370.457638888889</v>
      </c>
      <c r="F290" s="1" t="s">
        <v>6</v>
      </c>
      <c r="G290" s="1">
        <v>249750</v>
      </c>
      <c r="H290" s="1">
        <v>41</v>
      </c>
      <c r="I290" s="1" t="s">
        <v>81</v>
      </c>
      <c r="J290" s="1">
        <f>+Table2[[#This Row],[Ventas]]/Table2[[#This Row],[Cantidad]]</f>
        <v>6091.4634146341459</v>
      </c>
      <c r="K290" s="1" t="str">
        <f>+_xlfn.IFS(Table2[[#This Row],[Ventas]]&gt;200000,"Alta", Table2[[#This Row],[Ventas]]&gt;100000,"Media",TRUE,"Bajo")</f>
        <v>Alta</v>
      </c>
    </row>
    <row r="291" spans="1:11" x14ac:dyDescent="0.25">
      <c r="A291" s="1" t="s">
        <v>99</v>
      </c>
      <c r="B291" s="1" t="s">
        <v>118</v>
      </c>
      <c r="C291" s="1" t="s">
        <v>92</v>
      </c>
      <c r="D291" s="1" t="s">
        <v>5</v>
      </c>
      <c r="E291" s="2">
        <v>42370.457638888889</v>
      </c>
      <c r="F291" s="1" t="s">
        <v>6</v>
      </c>
      <c r="G291" s="1">
        <v>87679</v>
      </c>
      <c r="H291" s="1">
        <v>18</v>
      </c>
      <c r="I291" s="1" t="s">
        <v>81</v>
      </c>
      <c r="J291" s="1">
        <f>+Table2[[#This Row],[Ventas]]/Table2[[#This Row],[Cantidad]]</f>
        <v>4871.0555555555557</v>
      </c>
      <c r="K291" s="1" t="str">
        <f>+_xlfn.IFS(Table2[[#This Row],[Ventas]]&gt;200000,"Alta", Table2[[#This Row],[Ventas]]&gt;100000,"Media",TRUE,"Bajo")</f>
        <v>Bajo</v>
      </c>
    </row>
    <row r="292" spans="1:11" x14ac:dyDescent="0.25">
      <c r="A292" s="1" t="s">
        <v>99</v>
      </c>
      <c r="B292" s="1" t="s">
        <v>134</v>
      </c>
      <c r="C292" s="1" t="s">
        <v>87</v>
      </c>
      <c r="D292" s="1" t="s">
        <v>9</v>
      </c>
      <c r="E292" s="2">
        <v>42370.457638888889</v>
      </c>
      <c r="F292" s="1" t="s">
        <v>6</v>
      </c>
      <c r="G292" s="1">
        <v>154630</v>
      </c>
      <c r="H292" s="1">
        <v>41</v>
      </c>
      <c r="I292" s="1" t="s">
        <v>79</v>
      </c>
      <c r="J292" s="1">
        <f>+Table2[[#This Row],[Ventas]]/Table2[[#This Row],[Cantidad]]</f>
        <v>3771.4634146341464</v>
      </c>
      <c r="K292" s="1" t="str">
        <f>+_xlfn.IFS(Table2[[#This Row],[Ventas]]&gt;200000,"Alta", Table2[[#This Row],[Ventas]]&gt;100000,"Media",TRUE,"Bajo")</f>
        <v>Media</v>
      </c>
    </row>
    <row r="293" spans="1:11" x14ac:dyDescent="0.25">
      <c r="A293" s="1" t="s">
        <v>99</v>
      </c>
      <c r="B293" s="1" t="s">
        <v>108</v>
      </c>
      <c r="C293" s="1" t="s">
        <v>89</v>
      </c>
      <c r="D293" s="1" t="s">
        <v>9</v>
      </c>
      <c r="E293" s="2">
        <v>42370.457638888889</v>
      </c>
      <c r="F293" s="1" t="s">
        <v>12</v>
      </c>
      <c r="G293" s="1">
        <v>152322</v>
      </c>
      <c r="H293" s="1">
        <v>16</v>
      </c>
      <c r="I293" s="1" t="s">
        <v>80</v>
      </c>
      <c r="J293" s="1">
        <f>+Table2[[#This Row],[Ventas]]/Table2[[#This Row],[Cantidad]]</f>
        <v>9520.125</v>
      </c>
      <c r="K293" s="1" t="str">
        <f>+_xlfn.IFS(Table2[[#This Row],[Ventas]]&gt;200000,"Alta", Table2[[#This Row],[Ventas]]&gt;100000,"Media",TRUE,"Bajo")</f>
        <v>Media</v>
      </c>
    </row>
    <row r="294" spans="1:11" x14ac:dyDescent="0.25">
      <c r="A294" s="1" t="s">
        <v>99</v>
      </c>
      <c r="B294" s="1" t="s">
        <v>122</v>
      </c>
      <c r="C294" s="1" t="s">
        <v>92</v>
      </c>
      <c r="D294" s="1" t="s">
        <v>5</v>
      </c>
      <c r="E294" s="2">
        <v>42370.457638888889</v>
      </c>
      <c r="F294" s="1" t="s">
        <v>6</v>
      </c>
      <c r="G294" s="1">
        <v>96346</v>
      </c>
      <c r="H294" s="1">
        <v>34</v>
      </c>
      <c r="I294" s="1" t="s">
        <v>81</v>
      </c>
      <c r="J294" s="1">
        <f>+Table2[[#This Row],[Ventas]]/Table2[[#This Row],[Cantidad]]</f>
        <v>2833.705882352941</v>
      </c>
      <c r="K294" s="1" t="str">
        <f>+_xlfn.IFS(Table2[[#This Row],[Ventas]]&gt;200000,"Alta", Table2[[#This Row],[Ventas]]&gt;100000,"Media",TRUE,"Bajo")</f>
        <v>Bajo</v>
      </c>
    </row>
    <row r="295" spans="1:11" x14ac:dyDescent="0.25">
      <c r="A295" s="1" t="s">
        <v>99</v>
      </c>
      <c r="B295" s="1" t="s">
        <v>77</v>
      </c>
      <c r="C295" s="1" t="s">
        <v>92</v>
      </c>
      <c r="D295" s="1" t="s">
        <v>5</v>
      </c>
      <c r="E295" s="2">
        <v>42370.457638888889</v>
      </c>
      <c r="F295" s="1" t="s">
        <v>6</v>
      </c>
      <c r="G295" s="1">
        <v>73926</v>
      </c>
      <c r="H295" s="1">
        <v>40</v>
      </c>
      <c r="I295" s="1" t="s">
        <v>79</v>
      </c>
      <c r="J295" s="1">
        <f>+Table2[[#This Row],[Ventas]]/Table2[[#This Row],[Cantidad]]</f>
        <v>1848.15</v>
      </c>
      <c r="K295" s="1" t="str">
        <f>+_xlfn.IFS(Table2[[#This Row],[Ventas]]&gt;200000,"Alta", Table2[[#This Row],[Ventas]]&gt;100000,"Media",TRUE,"Bajo")</f>
        <v>Bajo</v>
      </c>
    </row>
    <row r="296" spans="1:11" x14ac:dyDescent="0.25">
      <c r="A296" s="1" t="s">
        <v>99</v>
      </c>
      <c r="B296" s="1" t="s">
        <v>77</v>
      </c>
      <c r="C296" s="1" t="s">
        <v>92</v>
      </c>
      <c r="D296" s="1" t="s">
        <v>5</v>
      </c>
      <c r="E296" s="2">
        <v>42370.457638888889</v>
      </c>
      <c r="F296" s="1" t="s">
        <v>6</v>
      </c>
      <c r="G296" s="1">
        <v>94709</v>
      </c>
      <c r="H296" s="1">
        <v>26</v>
      </c>
      <c r="I296" s="1" t="s">
        <v>82</v>
      </c>
      <c r="J296" s="1">
        <f>+Table2[[#This Row],[Ventas]]/Table2[[#This Row],[Cantidad]]</f>
        <v>3642.6538461538462</v>
      </c>
      <c r="K296" s="1" t="str">
        <f>+_xlfn.IFS(Table2[[#This Row],[Ventas]]&gt;200000,"Alta", Table2[[#This Row],[Ventas]]&gt;100000,"Media",TRUE,"Bajo")</f>
        <v>Bajo</v>
      </c>
    </row>
    <row r="297" spans="1:11" x14ac:dyDescent="0.25">
      <c r="A297" s="1" t="s">
        <v>99</v>
      </c>
      <c r="B297" s="1" t="s">
        <v>108</v>
      </c>
      <c r="C297" s="1" t="s">
        <v>89</v>
      </c>
      <c r="D297" s="1" t="s">
        <v>9</v>
      </c>
      <c r="E297" s="2">
        <v>42370.457638888889</v>
      </c>
      <c r="F297" s="1" t="s">
        <v>12</v>
      </c>
      <c r="G297" s="1">
        <v>141717</v>
      </c>
      <c r="H297" s="1">
        <v>15</v>
      </c>
      <c r="I297" s="1" t="s">
        <v>81</v>
      </c>
      <c r="J297" s="1">
        <f>+Table2[[#This Row],[Ventas]]/Table2[[#This Row],[Cantidad]]</f>
        <v>9447.7999999999993</v>
      </c>
      <c r="K297" s="1" t="str">
        <f>+_xlfn.IFS(Table2[[#This Row],[Ventas]]&gt;200000,"Alta", Table2[[#This Row],[Ventas]]&gt;100000,"Media",TRUE,"Bajo")</f>
        <v>Media</v>
      </c>
    </row>
    <row r="298" spans="1:11" x14ac:dyDescent="0.25">
      <c r="A298" s="1" t="s">
        <v>99</v>
      </c>
      <c r="B298" s="1" t="s">
        <v>134</v>
      </c>
      <c r="C298" s="1" t="s">
        <v>87</v>
      </c>
      <c r="D298" s="1" t="s">
        <v>9</v>
      </c>
      <c r="E298" s="2">
        <v>42370.457638888889</v>
      </c>
      <c r="F298" s="1" t="s">
        <v>6</v>
      </c>
      <c r="G298" s="1">
        <v>64719</v>
      </c>
      <c r="H298" s="1">
        <v>31</v>
      </c>
      <c r="I298" s="1" t="s">
        <v>79</v>
      </c>
      <c r="J298" s="1">
        <f>+Table2[[#This Row],[Ventas]]/Table2[[#This Row],[Cantidad]]</f>
        <v>2087.7096774193546</v>
      </c>
      <c r="K298" s="1" t="str">
        <f>+_xlfn.IFS(Table2[[#This Row],[Ventas]]&gt;200000,"Alta", Table2[[#This Row],[Ventas]]&gt;100000,"Media",TRUE,"Bajo")</f>
        <v>Bajo</v>
      </c>
    </row>
    <row r="299" spans="1:11" x14ac:dyDescent="0.25">
      <c r="A299" s="1" t="s">
        <v>99</v>
      </c>
      <c r="B299" s="1" t="s">
        <v>134</v>
      </c>
      <c r="C299" s="1" t="s">
        <v>87</v>
      </c>
      <c r="D299" s="1" t="s">
        <v>9</v>
      </c>
      <c r="E299" s="2">
        <v>42370.457638888889</v>
      </c>
      <c r="F299" s="1" t="s">
        <v>6</v>
      </c>
      <c r="G299" s="1">
        <v>70601</v>
      </c>
      <c r="H299" s="1">
        <v>42</v>
      </c>
      <c r="I299" s="1" t="s">
        <v>80</v>
      </c>
      <c r="J299" s="1">
        <f>+Table2[[#This Row],[Ventas]]/Table2[[#This Row],[Cantidad]]</f>
        <v>1680.9761904761904</v>
      </c>
      <c r="K299" s="1" t="str">
        <f>+_xlfn.IFS(Table2[[#This Row],[Ventas]]&gt;200000,"Alta", Table2[[#This Row],[Ventas]]&gt;100000,"Media",TRUE,"Bajo")</f>
        <v>Bajo</v>
      </c>
    </row>
    <row r="300" spans="1:11" x14ac:dyDescent="0.25">
      <c r="A300" s="1" t="s">
        <v>99</v>
      </c>
      <c r="B300" s="1" t="s">
        <v>24</v>
      </c>
      <c r="C300" s="1" t="s">
        <v>92</v>
      </c>
      <c r="D300" s="1" t="s">
        <v>5</v>
      </c>
      <c r="E300" s="2">
        <v>42398.457638888889</v>
      </c>
      <c r="F300" s="1" t="s">
        <v>6</v>
      </c>
      <c r="G300" s="1">
        <v>172731</v>
      </c>
      <c r="H300" s="1">
        <v>20</v>
      </c>
      <c r="I300" s="1" t="s">
        <v>93</v>
      </c>
      <c r="J300" s="1">
        <f>+Table2[[#This Row],[Ventas]]/Table2[[#This Row],[Cantidad]]</f>
        <v>8636.5499999999993</v>
      </c>
      <c r="K300" s="1" t="str">
        <f>+_xlfn.IFS(Table2[[#This Row],[Ventas]]&gt;200000,"Alta", Table2[[#This Row],[Ventas]]&gt;100000,"Media",TRUE,"Bajo")</f>
        <v>Media</v>
      </c>
    </row>
    <row r="301" spans="1:11" x14ac:dyDescent="0.25">
      <c r="A301" s="1" t="s">
        <v>100</v>
      </c>
      <c r="B301" s="1" t="s">
        <v>77</v>
      </c>
      <c r="C301" s="1" t="s">
        <v>92</v>
      </c>
      <c r="D301" s="1" t="s">
        <v>5</v>
      </c>
      <c r="E301" s="2">
        <v>42370.457638888889</v>
      </c>
      <c r="F301" s="1" t="s">
        <v>6</v>
      </c>
      <c r="G301" s="1">
        <v>158478</v>
      </c>
      <c r="H301" s="1">
        <v>32</v>
      </c>
      <c r="I301" s="1" t="s">
        <v>79</v>
      </c>
      <c r="J301" s="1">
        <f>+Table2[[#This Row],[Ventas]]/Table2[[#This Row],[Cantidad]]</f>
        <v>4952.4375</v>
      </c>
      <c r="K301" s="1" t="str">
        <f>+_xlfn.IFS(Table2[[#This Row],[Ventas]]&gt;200000,"Alta", Table2[[#This Row],[Ventas]]&gt;100000,"Media",TRUE,"Bajo")</f>
        <v>Media</v>
      </c>
    </row>
    <row r="302" spans="1:11" x14ac:dyDescent="0.25">
      <c r="A302" s="1" t="s">
        <v>100</v>
      </c>
      <c r="B302" s="1" t="s">
        <v>108</v>
      </c>
      <c r="C302" s="1" t="s">
        <v>89</v>
      </c>
      <c r="D302" s="1" t="s">
        <v>9</v>
      </c>
      <c r="E302" s="2">
        <v>42370.457638888889</v>
      </c>
      <c r="F302" s="1" t="s">
        <v>12</v>
      </c>
      <c r="G302" s="1">
        <v>188219</v>
      </c>
      <c r="H302" s="1">
        <v>42</v>
      </c>
      <c r="I302" s="1" t="s">
        <v>81</v>
      </c>
      <c r="J302" s="1">
        <f>+Table2[[#This Row],[Ventas]]/Table2[[#This Row],[Cantidad]]</f>
        <v>4481.4047619047615</v>
      </c>
      <c r="K302" s="1" t="str">
        <f>+_xlfn.IFS(Table2[[#This Row],[Ventas]]&gt;200000,"Alta", Table2[[#This Row],[Ventas]]&gt;100000,"Media",TRUE,"Bajo")</f>
        <v>Media</v>
      </c>
    </row>
    <row r="303" spans="1:11" x14ac:dyDescent="0.25">
      <c r="A303" s="1" t="s">
        <v>100</v>
      </c>
      <c r="B303" s="1" t="s">
        <v>149</v>
      </c>
      <c r="C303" s="1" t="s">
        <v>90</v>
      </c>
      <c r="D303" s="1" t="s">
        <v>9</v>
      </c>
      <c r="E303" s="2">
        <v>42370.457638888889</v>
      </c>
      <c r="F303" s="1" t="s">
        <v>6</v>
      </c>
      <c r="G303" s="1">
        <v>98533</v>
      </c>
      <c r="H303" s="1">
        <v>39</v>
      </c>
      <c r="I303" s="1" t="s">
        <v>81</v>
      </c>
      <c r="J303" s="1">
        <f>+Table2[[#This Row],[Ventas]]/Table2[[#This Row],[Cantidad]]</f>
        <v>2526.4871794871797</v>
      </c>
      <c r="K303" s="1" t="str">
        <f>+_xlfn.IFS(Table2[[#This Row],[Ventas]]&gt;200000,"Alta", Table2[[#This Row],[Ventas]]&gt;100000,"Media",TRUE,"Bajo")</f>
        <v>Bajo</v>
      </c>
    </row>
    <row r="304" spans="1:11" x14ac:dyDescent="0.25">
      <c r="A304" s="1" t="s">
        <v>100</v>
      </c>
      <c r="B304" s="1" t="s">
        <v>122</v>
      </c>
      <c r="C304" s="1" t="s">
        <v>92</v>
      </c>
      <c r="D304" s="1" t="s">
        <v>5</v>
      </c>
      <c r="E304" s="2">
        <v>42370.457638888889</v>
      </c>
      <c r="F304" s="1" t="s">
        <v>6</v>
      </c>
      <c r="G304" s="1">
        <v>230646</v>
      </c>
      <c r="H304" s="1">
        <v>31</v>
      </c>
      <c r="I304" s="1" t="s">
        <v>79</v>
      </c>
      <c r="J304" s="1">
        <f>+Table2[[#This Row],[Ventas]]/Table2[[#This Row],[Cantidad]]</f>
        <v>7440.1935483870966</v>
      </c>
      <c r="K304" s="1" t="str">
        <f>+_xlfn.IFS(Table2[[#This Row],[Ventas]]&gt;200000,"Alta", Table2[[#This Row],[Ventas]]&gt;100000,"Media",TRUE,"Bajo")</f>
        <v>Alta</v>
      </c>
    </row>
    <row r="305" spans="1:11" x14ac:dyDescent="0.25">
      <c r="A305" s="1" t="s">
        <v>100</v>
      </c>
      <c r="B305" s="1" t="s">
        <v>118</v>
      </c>
      <c r="C305" s="1" t="s">
        <v>92</v>
      </c>
      <c r="D305" s="1" t="s">
        <v>5</v>
      </c>
      <c r="E305" s="2">
        <v>42370.457638888889</v>
      </c>
      <c r="F305" s="1" t="s">
        <v>6</v>
      </c>
      <c r="G305" s="1">
        <v>78654</v>
      </c>
      <c r="H305" s="1">
        <v>31</v>
      </c>
      <c r="I305" s="1" t="s">
        <v>81</v>
      </c>
      <c r="J305" s="1">
        <f>+Table2[[#This Row],[Ventas]]/Table2[[#This Row],[Cantidad]]</f>
        <v>2537.2258064516127</v>
      </c>
      <c r="K305" s="1" t="str">
        <f>+_xlfn.IFS(Table2[[#This Row],[Ventas]]&gt;200000,"Alta", Table2[[#This Row],[Ventas]]&gt;100000,"Media",TRUE,"Bajo")</f>
        <v>Bajo</v>
      </c>
    </row>
    <row r="306" spans="1:11" x14ac:dyDescent="0.25">
      <c r="A306" s="1" t="s">
        <v>100</v>
      </c>
      <c r="B306" s="1" t="s">
        <v>77</v>
      </c>
      <c r="C306" s="1" t="s">
        <v>92</v>
      </c>
      <c r="D306" s="1" t="s">
        <v>5</v>
      </c>
      <c r="E306" s="2">
        <v>42370.457638888889</v>
      </c>
      <c r="F306" s="1" t="s">
        <v>6</v>
      </c>
      <c r="G306" s="1">
        <v>117451</v>
      </c>
      <c r="H306" s="1">
        <v>38</v>
      </c>
      <c r="I306" s="1" t="s">
        <v>79</v>
      </c>
      <c r="J306" s="1">
        <f>+Table2[[#This Row],[Ventas]]/Table2[[#This Row],[Cantidad]]</f>
        <v>3090.8157894736842</v>
      </c>
      <c r="K306" s="1" t="str">
        <f>+_xlfn.IFS(Table2[[#This Row],[Ventas]]&gt;200000,"Alta", Table2[[#This Row],[Ventas]]&gt;100000,"Media",TRUE,"Bajo")</f>
        <v>Media</v>
      </c>
    </row>
    <row r="307" spans="1:11" x14ac:dyDescent="0.25">
      <c r="A307" s="1" t="s">
        <v>100</v>
      </c>
      <c r="B307" s="1" t="s">
        <v>108</v>
      </c>
      <c r="C307" s="1" t="s">
        <v>89</v>
      </c>
      <c r="D307" s="1" t="s">
        <v>9</v>
      </c>
      <c r="E307" s="2">
        <v>42370.457638888889</v>
      </c>
      <c r="F307" s="1" t="s">
        <v>12</v>
      </c>
      <c r="G307" s="1">
        <v>204922</v>
      </c>
      <c r="H307" s="1">
        <v>15</v>
      </c>
      <c r="I307" s="1" t="s">
        <v>81</v>
      </c>
      <c r="J307" s="1">
        <f>+Table2[[#This Row],[Ventas]]/Table2[[#This Row],[Cantidad]]</f>
        <v>13661.466666666667</v>
      </c>
      <c r="K307" s="1" t="str">
        <f>+_xlfn.IFS(Table2[[#This Row],[Ventas]]&gt;200000,"Alta", Table2[[#This Row],[Ventas]]&gt;100000,"Media",TRUE,"Bajo")</f>
        <v>Alta</v>
      </c>
    </row>
    <row r="308" spans="1:11" x14ac:dyDescent="0.25">
      <c r="A308" s="1" t="s">
        <v>100</v>
      </c>
      <c r="B308" s="1" t="s">
        <v>149</v>
      </c>
      <c r="C308" s="1" t="s">
        <v>90</v>
      </c>
      <c r="D308" s="1" t="s">
        <v>9</v>
      </c>
      <c r="E308" s="2">
        <v>42370.457638888889</v>
      </c>
      <c r="F308" s="1" t="s">
        <v>6</v>
      </c>
      <c r="G308" s="1">
        <v>53585</v>
      </c>
      <c r="H308" s="1">
        <v>17</v>
      </c>
      <c r="I308" s="1" t="s">
        <v>79</v>
      </c>
      <c r="J308" s="1">
        <f>+Table2[[#This Row],[Ventas]]/Table2[[#This Row],[Cantidad]]</f>
        <v>3152.0588235294117</v>
      </c>
      <c r="K308" s="1" t="str">
        <f>+_xlfn.IFS(Table2[[#This Row],[Ventas]]&gt;200000,"Alta", Table2[[#This Row],[Ventas]]&gt;100000,"Media",TRUE,"Bajo")</f>
        <v>Bajo</v>
      </c>
    </row>
    <row r="309" spans="1:11" x14ac:dyDescent="0.25">
      <c r="A309" s="1" t="s">
        <v>100</v>
      </c>
      <c r="B309" s="1" t="s">
        <v>134</v>
      </c>
      <c r="C309" s="1" t="s">
        <v>87</v>
      </c>
      <c r="D309" s="1" t="s">
        <v>9</v>
      </c>
      <c r="E309" s="2">
        <v>42370.457638888889</v>
      </c>
      <c r="F309" s="1" t="s">
        <v>6</v>
      </c>
      <c r="G309" s="1">
        <v>78911</v>
      </c>
      <c r="H309" s="1">
        <v>36</v>
      </c>
      <c r="I309" s="1" t="s">
        <v>80</v>
      </c>
      <c r="J309" s="1">
        <f>+Table2[[#This Row],[Ventas]]/Table2[[#This Row],[Cantidad]]</f>
        <v>2191.9722222222222</v>
      </c>
      <c r="K309" s="1" t="str">
        <f>+_xlfn.IFS(Table2[[#This Row],[Ventas]]&gt;200000,"Alta", Table2[[#This Row],[Ventas]]&gt;100000,"Media",TRUE,"Bajo")</f>
        <v>Bajo</v>
      </c>
    </row>
    <row r="310" spans="1:11" x14ac:dyDescent="0.25">
      <c r="A310" s="1" t="s">
        <v>100</v>
      </c>
      <c r="B310" s="1" t="s">
        <v>43</v>
      </c>
      <c r="C310" s="1" t="s">
        <v>87</v>
      </c>
      <c r="D310" s="1" t="s">
        <v>9</v>
      </c>
      <c r="E310" s="2">
        <v>42370.457638888889</v>
      </c>
      <c r="F310" s="1" t="s">
        <v>12</v>
      </c>
      <c r="G310" s="1">
        <v>172360</v>
      </c>
      <c r="H310" s="1">
        <v>32</v>
      </c>
      <c r="I310" s="1" t="s">
        <v>81</v>
      </c>
      <c r="J310" s="1">
        <f>+Table2[[#This Row],[Ventas]]/Table2[[#This Row],[Cantidad]]</f>
        <v>5386.25</v>
      </c>
      <c r="K310" s="1" t="str">
        <f>+_xlfn.IFS(Table2[[#This Row],[Ventas]]&gt;200000,"Alta", Table2[[#This Row],[Ventas]]&gt;100000,"Media",TRUE,"Bajo")</f>
        <v>Media</v>
      </c>
    </row>
    <row r="311" spans="1:11" x14ac:dyDescent="0.25">
      <c r="A311" s="1" t="s">
        <v>100</v>
      </c>
      <c r="B311" s="1" t="s">
        <v>122</v>
      </c>
      <c r="C311" s="1" t="s">
        <v>92</v>
      </c>
      <c r="D311" s="1" t="s">
        <v>5</v>
      </c>
      <c r="E311" s="2">
        <v>42370.457638888889</v>
      </c>
      <c r="F311" s="1" t="s">
        <v>6</v>
      </c>
      <c r="G311" s="1">
        <v>55872</v>
      </c>
      <c r="H311" s="1">
        <v>24</v>
      </c>
      <c r="I311" s="1" t="s">
        <v>79</v>
      </c>
      <c r="J311" s="1">
        <f>+Table2[[#This Row],[Ventas]]/Table2[[#This Row],[Cantidad]]</f>
        <v>2328</v>
      </c>
      <c r="K311" s="1" t="str">
        <f>+_xlfn.IFS(Table2[[#This Row],[Ventas]]&gt;200000,"Alta", Table2[[#This Row],[Ventas]]&gt;100000,"Media",TRUE,"Bajo")</f>
        <v>Bajo</v>
      </c>
    </row>
    <row r="312" spans="1:11" x14ac:dyDescent="0.25">
      <c r="A312" s="1" t="s">
        <v>100</v>
      </c>
      <c r="B312" s="1" t="s">
        <v>118</v>
      </c>
      <c r="C312" s="1" t="s">
        <v>92</v>
      </c>
      <c r="D312" s="1" t="s">
        <v>5</v>
      </c>
      <c r="E312" s="2">
        <v>42370.457638888889</v>
      </c>
      <c r="F312" s="1" t="s">
        <v>6</v>
      </c>
      <c r="G312" s="1">
        <v>90516</v>
      </c>
      <c r="H312" s="1">
        <v>30</v>
      </c>
      <c r="I312" s="1" t="s">
        <v>82</v>
      </c>
      <c r="J312" s="1">
        <f>+Table2[[#This Row],[Ventas]]/Table2[[#This Row],[Cantidad]]</f>
        <v>3017.2</v>
      </c>
      <c r="K312" s="1" t="str">
        <f>+_xlfn.IFS(Table2[[#This Row],[Ventas]]&gt;200000,"Alta", Table2[[#This Row],[Ventas]]&gt;100000,"Media",TRUE,"Bajo")</f>
        <v>Bajo</v>
      </c>
    </row>
    <row r="313" spans="1:11" x14ac:dyDescent="0.25">
      <c r="A313" s="1" t="s">
        <v>100</v>
      </c>
      <c r="B313" s="1" t="s">
        <v>118</v>
      </c>
      <c r="C313" s="1" t="s">
        <v>92</v>
      </c>
      <c r="D313" s="1" t="s">
        <v>5</v>
      </c>
      <c r="E313" s="2">
        <v>42370.457638888889</v>
      </c>
      <c r="F313" s="1" t="s">
        <v>6</v>
      </c>
      <c r="G313" s="1">
        <v>170452</v>
      </c>
      <c r="H313" s="1">
        <v>30</v>
      </c>
      <c r="I313" s="1" t="s">
        <v>79</v>
      </c>
      <c r="J313" s="1">
        <f>+Table2[[#This Row],[Ventas]]/Table2[[#This Row],[Cantidad]]</f>
        <v>5681.7333333333336</v>
      </c>
      <c r="K313" s="1" t="str">
        <f>+_xlfn.IFS(Table2[[#This Row],[Ventas]]&gt;200000,"Alta", Table2[[#This Row],[Ventas]]&gt;100000,"Media",TRUE,"Bajo")</f>
        <v>Media</v>
      </c>
    </row>
    <row r="314" spans="1:11" x14ac:dyDescent="0.25">
      <c r="A314" s="1" t="s">
        <v>100</v>
      </c>
      <c r="B314" s="1" t="s">
        <v>118</v>
      </c>
      <c r="C314" s="1" t="s">
        <v>92</v>
      </c>
      <c r="D314" s="1" t="s">
        <v>5</v>
      </c>
      <c r="E314" s="2">
        <v>42370.457638888889</v>
      </c>
      <c r="F314" s="1" t="s">
        <v>6</v>
      </c>
      <c r="G314" s="1">
        <v>194532</v>
      </c>
      <c r="H314" s="1">
        <v>30</v>
      </c>
      <c r="I314" s="1" t="s">
        <v>81</v>
      </c>
      <c r="J314" s="1">
        <f>+Table2[[#This Row],[Ventas]]/Table2[[#This Row],[Cantidad]]</f>
        <v>6484.4</v>
      </c>
      <c r="K314" s="1" t="str">
        <f>+_xlfn.IFS(Table2[[#This Row],[Ventas]]&gt;200000,"Alta", Table2[[#This Row],[Ventas]]&gt;100000,"Media",TRUE,"Bajo")</f>
        <v>Media</v>
      </c>
    </row>
    <row r="315" spans="1:11" x14ac:dyDescent="0.25">
      <c r="A315" s="1" t="s">
        <v>101</v>
      </c>
      <c r="B315" s="1" t="s">
        <v>77</v>
      </c>
      <c r="C315" s="1" t="s">
        <v>92</v>
      </c>
      <c r="D315" s="1" t="s">
        <v>5</v>
      </c>
      <c r="E315" s="2">
        <v>42370.457638888889</v>
      </c>
      <c r="F315" s="1" t="s">
        <v>6</v>
      </c>
      <c r="G315" s="1">
        <v>105052</v>
      </c>
      <c r="H315" s="1">
        <v>21</v>
      </c>
      <c r="I315" s="1" t="s">
        <v>80</v>
      </c>
      <c r="J315" s="1">
        <f>+Table2[[#This Row],[Ventas]]/Table2[[#This Row],[Cantidad]]</f>
        <v>5002.4761904761908</v>
      </c>
      <c r="K315" s="1" t="str">
        <f>+_xlfn.IFS(Table2[[#This Row],[Ventas]]&gt;200000,"Alta", Table2[[#This Row],[Ventas]]&gt;100000,"Media",TRUE,"Bajo")</f>
        <v>Media</v>
      </c>
    </row>
    <row r="316" spans="1:11" x14ac:dyDescent="0.25">
      <c r="A316" s="1" t="s">
        <v>101</v>
      </c>
      <c r="B316" s="1" t="s">
        <v>108</v>
      </c>
      <c r="C316" s="1" t="s">
        <v>89</v>
      </c>
      <c r="D316" s="1" t="s">
        <v>9</v>
      </c>
      <c r="E316" s="2">
        <v>42370.457638888889</v>
      </c>
      <c r="F316" s="1" t="s">
        <v>12</v>
      </c>
      <c r="G316" s="1">
        <v>164900</v>
      </c>
      <c r="H316" s="1">
        <v>38</v>
      </c>
      <c r="I316" s="1" t="s">
        <v>79</v>
      </c>
      <c r="J316" s="1">
        <f>+Table2[[#This Row],[Ventas]]/Table2[[#This Row],[Cantidad]]</f>
        <v>4339.4736842105267</v>
      </c>
      <c r="K316" s="1" t="str">
        <f>+_xlfn.IFS(Table2[[#This Row],[Ventas]]&gt;200000,"Alta", Table2[[#This Row],[Ventas]]&gt;100000,"Media",TRUE,"Bajo")</f>
        <v>Media</v>
      </c>
    </row>
    <row r="317" spans="1:11" x14ac:dyDescent="0.25">
      <c r="A317" s="1" t="s">
        <v>101</v>
      </c>
      <c r="B317" s="1" t="s">
        <v>43</v>
      </c>
      <c r="C317" s="1" t="s">
        <v>87</v>
      </c>
      <c r="D317" s="1" t="s">
        <v>9</v>
      </c>
      <c r="E317" s="2">
        <v>42370.457638888889</v>
      </c>
      <c r="F317" s="1" t="s">
        <v>12</v>
      </c>
      <c r="G317" s="1">
        <v>92653</v>
      </c>
      <c r="H317" s="1">
        <v>41</v>
      </c>
      <c r="I317" s="1" t="s">
        <v>79</v>
      </c>
      <c r="J317" s="1">
        <f>+Table2[[#This Row],[Ventas]]/Table2[[#This Row],[Cantidad]]</f>
        <v>2259.8292682926831</v>
      </c>
      <c r="K317" s="1" t="str">
        <f>+_xlfn.IFS(Table2[[#This Row],[Ventas]]&gt;200000,"Alta", Table2[[#This Row],[Ventas]]&gt;100000,"Media",TRUE,"Bajo")</f>
        <v>Bajo</v>
      </c>
    </row>
    <row r="318" spans="1:11" x14ac:dyDescent="0.25">
      <c r="A318" s="1" t="s">
        <v>101</v>
      </c>
      <c r="B318" s="1" t="s">
        <v>122</v>
      </c>
      <c r="C318" s="1" t="s">
        <v>92</v>
      </c>
      <c r="D318" s="1" t="s">
        <v>5</v>
      </c>
      <c r="E318" s="2">
        <v>42370.457638888889</v>
      </c>
      <c r="F318" s="1" t="s">
        <v>6</v>
      </c>
      <c r="G318" s="1">
        <v>128070</v>
      </c>
      <c r="H318" s="1">
        <v>31</v>
      </c>
      <c r="I318" s="1" t="s">
        <v>81</v>
      </c>
      <c r="J318" s="1">
        <f>+Table2[[#This Row],[Ventas]]/Table2[[#This Row],[Cantidad]]</f>
        <v>4131.2903225806449</v>
      </c>
      <c r="K318" s="1" t="str">
        <f>+_xlfn.IFS(Table2[[#This Row],[Ventas]]&gt;200000,"Alta", Table2[[#This Row],[Ventas]]&gt;100000,"Media",TRUE,"Bajo")</f>
        <v>Media</v>
      </c>
    </row>
    <row r="319" spans="1:11" x14ac:dyDescent="0.25">
      <c r="A319" s="1" t="s">
        <v>101</v>
      </c>
      <c r="B319" s="1" t="s">
        <v>122</v>
      </c>
      <c r="C319" s="1" t="s">
        <v>92</v>
      </c>
      <c r="D319" s="1" t="s">
        <v>5</v>
      </c>
      <c r="E319" s="2">
        <v>42370.457638888889</v>
      </c>
      <c r="F319" s="1" t="s">
        <v>6</v>
      </c>
      <c r="G319" s="1">
        <v>102814</v>
      </c>
      <c r="H319" s="1">
        <v>27</v>
      </c>
      <c r="I319" s="1" t="s">
        <v>79</v>
      </c>
      <c r="J319" s="1">
        <f>+Table2[[#This Row],[Ventas]]/Table2[[#This Row],[Cantidad]]</f>
        <v>3807.9259259259261</v>
      </c>
      <c r="K319" s="1" t="str">
        <f>+_xlfn.IFS(Table2[[#This Row],[Ventas]]&gt;200000,"Alta", Table2[[#This Row],[Ventas]]&gt;100000,"Media",TRUE,"Bajo")</f>
        <v>Media</v>
      </c>
    </row>
    <row r="320" spans="1:11" x14ac:dyDescent="0.25">
      <c r="A320" s="1" t="s">
        <v>101</v>
      </c>
      <c r="B320" s="1" t="s">
        <v>77</v>
      </c>
      <c r="C320" s="1" t="s">
        <v>92</v>
      </c>
      <c r="D320" s="1" t="s">
        <v>5</v>
      </c>
      <c r="E320" s="2">
        <v>42370.457638888889</v>
      </c>
      <c r="F320" s="1" t="s">
        <v>6</v>
      </c>
      <c r="G320" s="1">
        <v>137688</v>
      </c>
      <c r="H320" s="1">
        <v>34</v>
      </c>
      <c r="I320" s="1" t="s">
        <v>79</v>
      </c>
      <c r="J320" s="1">
        <f>+Table2[[#This Row],[Ventas]]/Table2[[#This Row],[Cantidad]]</f>
        <v>4049.6470588235293</v>
      </c>
      <c r="K320" s="1" t="str">
        <f>+_xlfn.IFS(Table2[[#This Row],[Ventas]]&gt;200000,"Alta", Table2[[#This Row],[Ventas]]&gt;100000,"Media",TRUE,"Bajo")</f>
        <v>Media</v>
      </c>
    </row>
    <row r="321" spans="1:11" x14ac:dyDescent="0.25">
      <c r="A321" s="1" t="s">
        <v>101</v>
      </c>
      <c r="B321" s="1" t="s">
        <v>147</v>
      </c>
      <c r="C321" s="1" t="s">
        <v>92</v>
      </c>
      <c r="D321" s="1" t="s">
        <v>5</v>
      </c>
      <c r="E321" s="2">
        <v>42384.457638888889</v>
      </c>
      <c r="F321" s="1" t="s">
        <v>7</v>
      </c>
      <c r="G321" s="1">
        <v>94685</v>
      </c>
      <c r="H321" s="1">
        <v>41</v>
      </c>
      <c r="I321" s="1" t="s">
        <v>80</v>
      </c>
      <c r="J321" s="1">
        <f>+Table2[[#This Row],[Ventas]]/Table2[[#This Row],[Cantidad]]</f>
        <v>2309.3902439024391</v>
      </c>
      <c r="K321" s="1" t="str">
        <f>+_xlfn.IFS(Table2[[#This Row],[Ventas]]&gt;200000,"Alta", Table2[[#This Row],[Ventas]]&gt;100000,"Media",TRUE,"Bajo")</f>
        <v>Bajo</v>
      </c>
    </row>
    <row r="322" spans="1:11" x14ac:dyDescent="0.25">
      <c r="A322" s="1" t="s">
        <v>101</v>
      </c>
      <c r="B322" s="1" t="s">
        <v>108</v>
      </c>
      <c r="C322" s="1" t="s">
        <v>89</v>
      </c>
      <c r="D322" s="1" t="s">
        <v>9</v>
      </c>
      <c r="E322" s="2">
        <v>42370.457638888889</v>
      </c>
      <c r="F322" s="1" t="s">
        <v>12</v>
      </c>
      <c r="G322" s="1">
        <v>172920</v>
      </c>
      <c r="H322" s="1">
        <v>30</v>
      </c>
      <c r="I322" s="1" t="s">
        <v>79</v>
      </c>
      <c r="J322" s="1">
        <f>+Table2[[#This Row],[Ventas]]/Table2[[#This Row],[Cantidad]]</f>
        <v>5764</v>
      </c>
      <c r="K322" s="1" t="str">
        <f>+_xlfn.IFS(Table2[[#This Row],[Ventas]]&gt;200000,"Alta", Table2[[#This Row],[Ventas]]&gt;100000,"Media",TRUE,"Bajo")</f>
        <v>Media</v>
      </c>
    </row>
    <row r="323" spans="1:11" x14ac:dyDescent="0.25">
      <c r="A323" s="1" t="s">
        <v>101</v>
      </c>
      <c r="B323" s="1" t="s">
        <v>43</v>
      </c>
      <c r="C323" s="1" t="s">
        <v>87</v>
      </c>
      <c r="D323" s="1" t="s">
        <v>9</v>
      </c>
      <c r="E323" s="2">
        <v>42370.457638888889</v>
      </c>
      <c r="F323" s="1" t="s">
        <v>12</v>
      </c>
      <c r="G323" s="1">
        <v>190270</v>
      </c>
      <c r="H323" s="1">
        <v>30</v>
      </c>
      <c r="I323" s="1" t="s">
        <v>79</v>
      </c>
      <c r="J323" s="1">
        <f>+Table2[[#This Row],[Ventas]]/Table2[[#This Row],[Cantidad]]</f>
        <v>6342.333333333333</v>
      </c>
      <c r="K323" s="1" t="str">
        <f>+_xlfn.IFS(Table2[[#This Row],[Ventas]]&gt;200000,"Alta", Table2[[#This Row],[Ventas]]&gt;100000,"Media",TRUE,"Bajo")</f>
        <v>Media</v>
      </c>
    </row>
    <row r="324" spans="1:11" x14ac:dyDescent="0.25">
      <c r="A324" s="1" t="s">
        <v>101</v>
      </c>
      <c r="B324" s="1" t="s">
        <v>122</v>
      </c>
      <c r="C324" s="1" t="s">
        <v>92</v>
      </c>
      <c r="D324" s="1" t="s">
        <v>5</v>
      </c>
      <c r="E324" s="2">
        <v>42370.457638888889</v>
      </c>
      <c r="F324" s="1" t="s">
        <v>6</v>
      </c>
      <c r="G324" s="1">
        <v>242009</v>
      </c>
      <c r="H324" s="1">
        <v>31</v>
      </c>
      <c r="I324" s="1" t="s">
        <v>79</v>
      </c>
      <c r="J324" s="1">
        <f>+Table2[[#This Row],[Ventas]]/Table2[[#This Row],[Cantidad]]</f>
        <v>7806.7419354838712</v>
      </c>
      <c r="K324" s="1" t="str">
        <f>+_xlfn.IFS(Table2[[#This Row],[Ventas]]&gt;200000,"Alta", Table2[[#This Row],[Ventas]]&gt;100000,"Media",TRUE,"Bajo")</f>
        <v>Alta</v>
      </c>
    </row>
    <row r="325" spans="1:11" x14ac:dyDescent="0.25">
      <c r="A325" s="1" t="s">
        <v>101</v>
      </c>
      <c r="B325" s="1" t="s">
        <v>122</v>
      </c>
      <c r="C325" s="1" t="s">
        <v>92</v>
      </c>
      <c r="D325" s="1" t="s">
        <v>5</v>
      </c>
      <c r="E325" s="2">
        <v>42370.457638888889</v>
      </c>
      <c r="F325" s="1" t="s">
        <v>6</v>
      </c>
      <c r="G325" s="1">
        <v>146427</v>
      </c>
      <c r="H325" s="1">
        <v>25</v>
      </c>
      <c r="I325" s="1" t="s">
        <v>81</v>
      </c>
      <c r="J325" s="1">
        <f>+Table2[[#This Row],[Ventas]]/Table2[[#This Row],[Cantidad]]</f>
        <v>5857.08</v>
      </c>
      <c r="K325" s="1" t="str">
        <f>+_xlfn.IFS(Table2[[#This Row],[Ventas]]&gt;200000,"Alta", Table2[[#This Row],[Ventas]]&gt;100000,"Media",TRUE,"Bajo")</f>
        <v>Media</v>
      </c>
    </row>
    <row r="326" spans="1:11" x14ac:dyDescent="0.25">
      <c r="A326" s="1" t="s">
        <v>101</v>
      </c>
      <c r="B326" s="1" t="s">
        <v>131</v>
      </c>
      <c r="C326" s="1" t="s">
        <v>87</v>
      </c>
      <c r="D326" s="1" t="s">
        <v>9</v>
      </c>
      <c r="E326" s="2">
        <v>42400.457638888889</v>
      </c>
      <c r="F326" s="1" t="s">
        <v>7</v>
      </c>
      <c r="G326" s="1">
        <v>234999</v>
      </c>
      <c r="H326" s="1">
        <v>23</v>
      </c>
      <c r="I326" s="1" t="s">
        <v>80</v>
      </c>
      <c r="J326" s="1">
        <f>+Table2[[#This Row],[Ventas]]/Table2[[#This Row],[Cantidad]]</f>
        <v>10217.347826086956</v>
      </c>
      <c r="K326" s="1" t="str">
        <f>+_xlfn.IFS(Table2[[#This Row],[Ventas]]&gt;200000,"Alta", Table2[[#This Row],[Ventas]]&gt;100000,"Media",TRUE,"Bajo")</f>
        <v>Alta</v>
      </c>
    </row>
    <row r="327" spans="1:11" x14ac:dyDescent="0.25">
      <c r="A327" s="1" t="s">
        <v>101</v>
      </c>
      <c r="B327" s="1" t="s">
        <v>77</v>
      </c>
      <c r="C327" s="1" t="s">
        <v>92</v>
      </c>
      <c r="D327" s="1" t="s">
        <v>5</v>
      </c>
      <c r="E327" s="2">
        <v>42370.457638888889</v>
      </c>
      <c r="F327" s="1" t="s">
        <v>6</v>
      </c>
      <c r="G327" s="1">
        <v>220871</v>
      </c>
      <c r="H327" s="1">
        <v>38</v>
      </c>
      <c r="I327" s="1" t="s">
        <v>81</v>
      </c>
      <c r="J327" s="1">
        <f>+Table2[[#This Row],[Ventas]]/Table2[[#This Row],[Cantidad]]</f>
        <v>5812.394736842105</v>
      </c>
      <c r="K327" s="1" t="str">
        <f>+_xlfn.IFS(Table2[[#This Row],[Ventas]]&gt;200000,"Alta", Table2[[#This Row],[Ventas]]&gt;100000,"Media",TRUE,"Bajo")</f>
        <v>Alta</v>
      </c>
    </row>
    <row r="328" spans="1:11" x14ac:dyDescent="0.25">
      <c r="A328" s="1" t="s">
        <v>101</v>
      </c>
      <c r="B328" s="1" t="s">
        <v>77</v>
      </c>
      <c r="C328" s="1" t="s">
        <v>92</v>
      </c>
      <c r="D328" s="1" t="s">
        <v>5</v>
      </c>
      <c r="E328" s="2">
        <v>42370.457638888889</v>
      </c>
      <c r="F328" s="1" t="s">
        <v>6</v>
      </c>
      <c r="G328" s="1">
        <v>153090</v>
      </c>
      <c r="H328" s="1">
        <v>23</v>
      </c>
      <c r="I328" s="1" t="s">
        <v>81</v>
      </c>
      <c r="J328" s="1">
        <f>+Table2[[#This Row],[Ventas]]/Table2[[#This Row],[Cantidad]]</f>
        <v>6656.086956521739</v>
      </c>
      <c r="K328" s="1" t="str">
        <f>+_xlfn.IFS(Table2[[#This Row],[Ventas]]&gt;200000,"Alta", Table2[[#This Row],[Ventas]]&gt;100000,"Media",TRUE,"Bajo")</f>
        <v>Media</v>
      </c>
    </row>
    <row r="329" spans="1:11" x14ac:dyDescent="0.25">
      <c r="A329" s="1" t="s">
        <v>101</v>
      </c>
      <c r="B329" s="1" t="s">
        <v>147</v>
      </c>
      <c r="C329" s="1" t="s">
        <v>92</v>
      </c>
      <c r="D329" s="1" t="s">
        <v>5</v>
      </c>
      <c r="E329" s="2">
        <v>42384.457638888889</v>
      </c>
      <c r="F329" s="1" t="s">
        <v>7</v>
      </c>
      <c r="G329" s="1">
        <v>247691</v>
      </c>
      <c r="H329" s="1">
        <v>15</v>
      </c>
      <c r="I329" s="1" t="s">
        <v>79</v>
      </c>
      <c r="J329" s="1">
        <f>+Table2[[#This Row],[Ventas]]/Table2[[#This Row],[Cantidad]]</f>
        <v>16512.733333333334</v>
      </c>
      <c r="K329" s="1" t="str">
        <f>+_xlfn.IFS(Table2[[#This Row],[Ventas]]&gt;200000,"Alta", Table2[[#This Row],[Ventas]]&gt;100000,"Media",TRUE,"Bajo")</f>
        <v>Alta</v>
      </c>
    </row>
    <row r="330" spans="1:11" x14ac:dyDescent="0.25">
      <c r="A330" s="1" t="s">
        <v>101</v>
      </c>
      <c r="B330" s="1" t="s">
        <v>108</v>
      </c>
      <c r="C330" s="1" t="s">
        <v>89</v>
      </c>
      <c r="D330" s="1" t="s">
        <v>9</v>
      </c>
      <c r="E330" s="2">
        <v>42370.457638888889</v>
      </c>
      <c r="F330" s="1" t="s">
        <v>12</v>
      </c>
      <c r="G330" s="1">
        <v>55017</v>
      </c>
      <c r="H330" s="1">
        <v>40</v>
      </c>
      <c r="I330" s="1" t="s">
        <v>82</v>
      </c>
      <c r="J330" s="1">
        <f>+Table2[[#This Row],[Ventas]]/Table2[[#This Row],[Cantidad]]</f>
        <v>1375.425</v>
      </c>
      <c r="K330" s="1" t="str">
        <f>+_xlfn.IFS(Table2[[#This Row],[Ventas]]&gt;200000,"Alta", Table2[[#This Row],[Ventas]]&gt;100000,"Media",TRUE,"Bajo")</f>
        <v>Bajo</v>
      </c>
    </row>
    <row r="331" spans="1:11" x14ac:dyDescent="0.25">
      <c r="A331" s="1" t="s">
        <v>101</v>
      </c>
      <c r="B331" s="1" t="s">
        <v>43</v>
      </c>
      <c r="C331" s="1" t="s">
        <v>87</v>
      </c>
      <c r="D331" s="1" t="s">
        <v>9</v>
      </c>
      <c r="E331" s="2">
        <v>42370.457638888889</v>
      </c>
      <c r="F331" s="1" t="s">
        <v>12</v>
      </c>
      <c r="G331" s="1">
        <v>176805</v>
      </c>
      <c r="H331" s="1">
        <v>37</v>
      </c>
      <c r="I331" s="1" t="s">
        <v>79</v>
      </c>
      <c r="J331" s="1">
        <f>+Table2[[#This Row],[Ventas]]/Table2[[#This Row],[Cantidad]]</f>
        <v>4778.5135135135133</v>
      </c>
      <c r="K331" s="1" t="str">
        <f>+_xlfn.IFS(Table2[[#This Row],[Ventas]]&gt;200000,"Alta", Table2[[#This Row],[Ventas]]&gt;100000,"Media",TRUE,"Bajo")</f>
        <v>Media</v>
      </c>
    </row>
    <row r="332" spans="1:11" x14ac:dyDescent="0.25">
      <c r="A332" s="1" t="s">
        <v>101</v>
      </c>
      <c r="B332" s="1" t="s">
        <v>134</v>
      </c>
      <c r="C332" s="1" t="s">
        <v>87</v>
      </c>
      <c r="D332" s="1" t="s">
        <v>9</v>
      </c>
      <c r="E332" s="2">
        <v>42370.457638888889</v>
      </c>
      <c r="F332" s="1" t="s">
        <v>6</v>
      </c>
      <c r="G332" s="1">
        <v>64955</v>
      </c>
      <c r="H332" s="1">
        <v>15</v>
      </c>
      <c r="I332" s="1" t="s">
        <v>81</v>
      </c>
      <c r="J332" s="1">
        <f>+Table2[[#This Row],[Ventas]]/Table2[[#This Row],[Cantidad]]</f>
        <v>4330.333333333333</v>
      </c>
      <c r="K332" s="1" t="str">
        <f>+_xlfn.IFS(Table2[[#This Row],[Ventas]]&gt;200000,"Alta", Table2[[#This Row],[Ventas]]&gt;100000,"Media",TRUE,"Bajo")</f>
        <v>Bajo</v>
      </c>
    </row>
    <row r="333" spans="1:11" x14ac:dyDescent="0.25">
      <c r="A333" s="1" t="s">
        <v>101</v>
      </c>
      <c r="B333" s="1" t="s">
        <v>149</v>
      </c>
      <c r="C333" s="1" t="s">
        <v>90</v>
      </c>
      <c r="D333" s="1" t="s">
        <v>9</v>
      </c>
      <c r="E333" s="2">
        <v>42370.457638888889</v>
      </c>
      <c r="F333" s="1" t="s">
        <v>6</v>
      </c>
      <c r="G333" s="1">
        <v>80508</v>
      </c>
      <c r="H333" s="1">
        <v>18</v>
      </c>
      <c r="I333" s="1" t="s">
        <v>79</v>
      </c>
      <c r="J333" s="1">
        <f>+Table2[[#This Row],[Ventas]]/Table2[[#This Row],[Cantidad]]</f>
        <v>4472.666666666667</v>
      </c>
      <c r="K333" s="1" t="str">
        <f>+_xlfn.IFS(Table2[[#This Row],[Ventas]]&gt;200000,"Alta", Table2[[#This Row],[Ventas]]&gt;100000,"Media",TRUE,"Bajo")</f>
        <v>Bajo</v>
      </c>
    </row>
    <row r="334" spans="1:11" x14ac:dyDescent="0.25">
      <c r="A334" s="1" t="s">
        <v>101</v>
      </c>
      <c r="B334" s="1" t="s">
        <v>122</v>
      </c>
      <c r="C334" s="1" t="s">
        <v>92</v>
      </c>
      <c r="D334" s="1" t="s">
        <v>5</v>
      </c>
      <c r="E334" s="2">
        <v>42370.457638888889</v>
      </c>
      <c r="F334" s="1" t="s">
        <v>6</v>
      </c>
      <c r="G334" s="1">
        <v>234572</v>
      </c>
      <c r="H334" s="1">
        <v>41</v>
      </c>
      <c r="I334" s="1" t="s">
        <v>82</v>
      </c>
      <c r="J334" s="1">
        <f>+Table2[[#This Row],[Ventas]]/Table2[[#This Row],[Cantidad]]</f>
        <v>5721.2682926829266</v>
      </c>
      <c r="K334" s="1" t="str">
        <f>+_xlfn.IFS(Table2[[#This Row],[Ventas]]&gt;200000,"Alta", Table2[[#This Row],[Ventas]]&gt;100000,"Media",TRUE,"Bajo")</f>
        <v>Alta</v>
      </c>
    </row>
    <row r="335" spans="1:11" x14ac:dyDescent="0.25">
      <c r="A335" s="1" t="s">
        <v>101</v>
      </c>
      <c r="B335" s="1" t="s">
        <v>122</v>
      </c>
      <c r="C335" s="1" t="s">
        <v>92</v>
      </c>
      <c r="D335" s="1" t="s">
        <v>5</v>
      </c>
      <c r="E335" s="2">
        <v>42370.457638888889</v>
      </c>
      <c r="F335" s="1" t="s">
        <v>6</v>
      </c>
      <c r="G335" s="1">
        <v>163163</v>
      </c>
      <c r="H335" s="1">
        <v>16</v>
      </c>
      <c r="I335" s="1" t="s">
        <v>81</v>
      </c>
      <c r="J335" s="1">
        <f>+Table2[[#This Row],[Ventas]]/Table2[[#This Row],[Cantidad]]</f>
        <v>10197.6875</v>
      </c>
      <c r="K335" s="1" t="str">
        <f>+_xlfn.IFS(Table2[[#This Row],[Ventas]]&gt;200000,"Alta", Table2[[#This Row],[Ventas]]&gt;100000,"Media",TRUE,"Bajo")</f>
        <v>Media</v>
      </c>
    </row>
    <row r="336" spans="1:11" x14ac:dyDescent="0.25">
      <c r="A336" s="1" t="s">
        <v>102</v>
      </c>
      <c r="B336" s="1" t="s">
        <v>108</v>
      </c>
      <c r="C336" s="1" t="s">
        <v>89</v>
      </c>
      <c r="D336" s="1" t="s">
        <v>9</v>
      </c>
      <c r="E336" s="2">
        <v>42370.457638888889</v>
      </c>
      <c r="F336" s="1" t="s">
        <v>12</v>
      </c>
      <c r="G336" s="1">
        <v>130859</v>
      </c>
      <c r="H336" s="1">
        <v>21</v>
      </c>
      <c r="I336" s="1" t="s">
        <v>79</v>
      </c>
      <c r="J336" s="1">
        <f>+Table2[[#This Row],[Ventas]]/Table2[[#This Row],[Cantidad]]</f>
        <v>6231.3809523809523</v>
      </c>
      <c r="K336" s="1" t="str">
        <f>+_xlfn.IFS(Table2[[#This Row],[Ventas]]&gt;200000,"Alta", Table2[[#This Row],[Ventas]]&gt;100000,"Media",TRUE,"Bajo")</f>
        <v>Media</v>
      </c>
    </row>
    <row r="337" spans="1:11" x14ac:dyDescent="0.25">
      <c r="A337" s="1" t="s">
        <v>102</v>
      </c>
      <c r="B337" s="1" t="s">
        <v>134</v>
      </c>
      <c r="C337" s="1" t="s">
        <v>87</v>
      </c>
      <c r="D337" s="1" t="s">
        <v>9</v>
      </c>
      <c r="E337" s="2">
        <v>42370.457638888889</v>
      </c>
      <c r="F337" s="1" t="s">
        <v>6</v>
      </c>
      <c r="G337" s="1">
        <v>58878</v>
      </c>
      <c r="H337" s="1">
        <v>36</v>
      </c>
      <c r="I337" s="1" t="s">
        <v>80</v>
      </c>
      <c r="J337" s="1">
        <f>+Table2[[#This Row],[Ventas]]/Table2[[#This Row],[Cantidad]]</f>
        <v>1635.5</v>
      </c>
      <c r="K337" s="1" t="str">
        <f>+_xlfn.IFS(Table2[[#This Row],[Ventas]]&gt;200000,"Alta", Table2[[#This Row],[Ventas]]&gt;100000,"Media",TRUE,"Bajo")</f>
        <v>Bajo</v>
      </c>
    </row>
    <row r="338" spans="1:11" x14ac:dyDescent="0.25">
      <c r="A338" s="1" t="s">
        <v>102</v>
      </c>
      <c r="B338" s="1" t="s">
        <v>149</v>
      </c>
      <c r="C338" s="1" t="s">
        <v>90</v>
      </c>
      <c r="D338" s="1" t="s">
        <v>9</v>
      </c>
      <c r="E338" s="2">
        <v>42370.457638888889</v>
      </c>
      <c r="F338" s="1" t="s">
        <v>6</v>
      </c>
      <c r="G338" s="1">
        <v>116148</v>
      </c>
      <c r="H338" s="1">
        <v>37</v>
      </c>
      <c r="I338" s="1" t="s">
        <v>79</v>
      </c>
      <c r="J338" s="1">
        <f>+Table2[[#This Row],[Ventas]]/Table2[[#This Row],[Cantidad]]</f>
        <v>3139.135135135135</v>
      </c>
      <c r="K338" s="1" t="str">
        <f>+_xlfn.IFS(Table2[[#This Row],[Ventas]]&gt;200000,"Alta", Table2[[#This Row],[Ventas]]&gt;100000,"Media",TRUE,"Bajo")</f>
        <v>Media</v>
      </c>
    </row>
    <row r="339" spans="1:11" x14ac:dyDescent="0.25">
      <c r="A339" s="1" t="s">
        <v>102</v>
      </c>
      <c r="B339" s="1" t="s">
        <v>122</v>
      </c>
      <c r="C339" s="1" t="s">
        <v>92</v>
      </c>
      <c r="D339" s="1" t="s">
        <v>5</v>
      </c>
      <c r="E339" s="2">
        <v>42370.457638888889</v>
      </c>
      <c r="F339" s="1" t="s">
        <v>6</v>
      </c>
      <c r="G339" s="1">
        <v>78119</v>
      </c>
      <c r="H339" s="1">
        <v>38</v>
      </c>
      <c r="I339" s="1" t="s">
        <v>79</v>
      </c>
      <c r="J339" s="1">
        <f>+Table2[[#This Row],[Ventas]]/Table2[[#This Row],[Cantidad]]</f>
        <v>2055.7631578947367</v>
      </c>
      <c r="K339" s="1" t="str">
        <f>+_xlfn.IFS(Table2[[#This Row],[Ventas]]&gt;200000,"Alta", Table2[[#This Row],[Ventas]]&gt;100000,"Media",TRUE,"Bajo")</f>
        <v>Bajo</v>
      </c>
    </row>
    <row r="340" spans="1:11" x14ac:dyDescent="0.25">
      <c r="A340" s="1" t="s">
        <v>102</v>
      </c>
      <c r="B340" s="1" t="s">
        <v>122</v>
      </c>
      <c r="C340" s="1" t="s">
        <v>92</v>
      </c>
      <c r="D340" s="1" t="s">
        <v>5</v>
      </c>
      <c r="E340" s="2">
        <v>42370.457638888889</v>
      </c>
      <c r="F340" s="1" t="s">
        <v>6</v>
      </c>
      <c r="G340" s="1">
        <v>117337</v>
      </c>
      <c r="H340" s="1">
        <v>22</v>
      </c>
      <c r="I340" s="1" t="s">
        <v>81</v>
      </c>
      <c r="J340" s="1">
        <f>+Table2[[#This Row],[Ventas]]/Table2[[#This Row],[Cantidad]]</f>
        <v>5333.5</v>
      </c>
      <c r="K340" s="1" t="str">
        <f>+_xlfn.IFS(Table2[[#This Row],[Ventas]]&gt;200000,"Alta", Table2[[#This Row],[Ventas]]&gt;100000,"Media",TRUE,"Bajo")</f>
        <v>Media</v>
      </c>
    </row>
    <row r="341" spans="1:11" x14ac:dyDescent="0.25">
      <c r="A341" s="1" t="s">
        <v>102</v>
      </c>
      <c r="B341" s="1" t="s">
        <v>118</v>
      </c>
      <c r="C341" s="1" t="s">
        <v>92</v>
      </c>
      <c r="D341" s="1" t="s">
        <v>5</v>
      </c>
      <c r="E341" s="2">
        <v>42370.457638888889</v>
      </c>
      <c r="F341" s="1" t="s">
        <v>6</v>
      </c>
      <c r="G341" s="1">
        <v>246381</v>
      </c>
      <c r="H341" s="1">
        <v>22</v>
      </c>
      <c r="I341" s="1" t="s">
        <v>79</v>
      </c>
      <c r="J341" s="1">
        <f>+Table2[[#This Row],[Ventas]]/Table2[[#This Row],[Cantidad]]</f>
        <v>11199.136363636364</v>
      </c>
      <c r="K341" s="1" t="str">
        <f>+_xlfn.IFS(Table2[[#This Row],[Ventas]]&gt;200000,"Alta", Table2[[#This Row],[Ventas]]&gt;100000,"Media",TRUE,"Bajo")</f>
        <v>Alta</v>
      </c>
    </row>
    <row r="342" spans="1:11" x14ac:dyDescent="0.25">
      <c r="A342" s="1" t="s">
        <v>102</v>
      </c>
      <c r="B342" s="1" t="s">
        <v>122</v>
      </c>
      <c r="C342" s="1" t="s">
        <v>92</v>
      </c>
      <c r="D342" s="1" t="s">
        <v>5</v>
      </c>
      <c r="E342" s="2">
        <v>42370.457638888889</v>
      </c>
      <c r="F342" s="1" t="s">
        <v>6</v>
      </c>
      <c r="G342" s="1">
        <v>85868</v>
      </c>
      <c r="H342" s="1">
        <v>38</v>
      </c>
      <c r="I342" s="1" t="s">
        <v>80</v>
      </c>
      <c r="J342" s="1">
        <f>+Table2[[#This Row],[Ventas]]/Table2[[#This Row],[Cantidad]]</f>
        <v>2259.6842105263158</v>
      </c>
      <c r="K342" s="1" t="str">
        <f>+_xlfn.IFS(Table2[[#This Row],[Ventas]]&gt;200000,"Alta", Table2[[#This Row],[Ventas]]&gt;100000,"Media",TRUE,"Bajo")</f>
        <v>Bajo</v>
      </c>
    </row>
    <row r="343" spans="1:11" x14ac:dyDescent="0.25">
      <c r="A343" s="1" t="s">
        <v>102</v>
      </c>
      <c r="B343" s="1" t="s">
        <v>77</v>
      </c>
      <c r="C343" s="1" t="s">
        <v>92</v>
      </c>
      <c r="D343" s="1" t="s">
        <v>5</v>
      </c>
      <c r="E343" s="2">
        <v>42370.457638888889</v>
      </c>
      <c r="F343" s="1" t="s">
        <v>6</v>
      </c>
      <c r="G343" s="1">
        <v>248199</v>
      </c>
      <c r="H343" s="1">
        <v>42</v>
      </c>
      <c r="I343" s="1" t="s">
        <v>79</v>
      </c>
      <c r="J343" s="1">
        <f>+Table2[[#This Row],[Ventas]]/Table2[[#This Row],[Cantidad]]</f>
        <v>5909.5</v>
      </c>
      <c r="K343" s="1" t="str">
        <f>+_xlfn.IFS(Table2[[#This Row],[Ventas]]&gt;200000,"Alta", Table2[[#This Row],[Ventas]]&gt;100000,"Media",TRUE,"Bajo")</f>
        <v>Alta</v>
      </c>
    </row>
    <row r="344" spans="1:11" x14ac:dyDescent="0.25">
      <c r="A344" s="1" t="s">
        <v>102</v>
      </c>
      <c r="B344" s="1" t="s">
        <v>108</v>
      </c>
      <c r="C344" s="1" t="s">
        <v>89</v>
      </c>
      <c r="D344" s="1" t="s">
        <v>9</v>
      </c>
      <c r="E344" s="2">
        <v>42370.457638888889</v>
      </c>
      <c r="F344" s="1" t="s">
        <v>12</v>
      </c>
      <c r="G344" s="1">
        <v>72504</v>
      </c>
      <c r="H344" s="1">
        <v>38</v>
      </c>
      <c r="I344" s="1" t="s">
        <v>81</v>
      </c>
      <c r="J344" s="1">
        <f>+Table2[[#This Row],[Ventas]]/Table2[[#This Row],[Cantidad]]</f>
        <v>1908</v>
      </c>
      <c r="K344" s="1" t="str">
        <f>+_xlfn.IFS(Table2[[#This Row],[Ventas]]&gt;200000,"Alta", Table2[[#This Row],[Ventas]]&gt;100000,"Media",TRUE,"Bajo")</f>
        <v>Bajo</v>
      </c>
    </row>
    <row r="345" spans="1:11" x14ac:dyDescent="0.25">
      <c r="A345" s="1" t="s">
        <v>102</v>
      </c>
      <c r="B345" s="1" t="s">
        <v>108</v>
      </c>
      <c r="C345" s="1" t="s">
        <v>89</v>
      </c>
      <c r="D345" s="1" t="s">
        <v>9</v>
      </c>
      <c r="E345" s="2">
        <v>42370.457638888889</v>
      </c>
      <c r="F345" s="1" t="s">
        <v>12</v>
      </c>
      <c r="G345" s="1">
        <v>222234</v>
      </c>
      <c r="H345" s="1">
        <v>33</v>
      </c>
      <c r="I345" s="1" t="s">
        <v>79</v>
      </c>
      <c r="J345" s="1">
        <f>+Table2[[#This Row],[Ventas]]/Table2[[#This Row],[Cantidad]]</f>
        <v>6734.363636363636</v>
      </c>
      <c r="K345" s="1" t="str">
        <f>+_xlfn.IFS(Table2[[#This Row],[Ventas]]&gt;200000,"Alta", Table2[[#This Row],[Ventas]]&gt;100000,"Media",TRUE,"Bajo")</f>
        <v>Alta</v>
      </c>
    </row>
    <row r="346" spans="1:11" x14ac:dyDescent="0.25">
      <c r="A346" s="1" t="s">
        <v>102</v>
      </c>
      <c r="B346" s="1" t="s">
        <v>149</v>
      </c>
      <c r="C346" s="1" t="s">
        <v>90</v>
      </c>
      <c r="D346" s="1" t="s">
        <v>9</v>
      </c>
      <c r="E346" s="2">
        <v>42370.457638888889</v>
      </c>
      <c r="F346" s="1" t="s">
        <v>6</v>
      </c>
      <c r="G346" s="1">
        <v>77987</v>
      </c>
      <c r="H346" s="1">
        <v>33</v>
      </c>
      <c r="I346" s="1" t="s">
        <v>81</v>
      </c>
      <c r="J346" s="1">
        <f>+Table2[[#This Row],[Ventas]]/Table2[[#This Row],[Cantidad]]</f>
        <v>2363.242424242424</v>
      </c>
      <c r="K346" s="1" t="str">
        <f>+_xlfn.IFS(Table2[[#This Row],[Ventas]]&gt;200000,"Alta", Table2[[#This Row],[Ventas]]&gt;100000,"Media",TRUE,"Bajo")</f>
        <v>Bajo</v>
      </c>
    </row>
    <row r="347" spans="1:11" x14ac:dyDescent="0.25">
      <c r="A347" s="1" t="s">
        <v>102</v>
      </c>
      <c r="B347" s="1" t="s">
        <v>122</v>
      </c>
      <c r="C347" s="1" t="s">
        <v>92</v>
      </c>
      <c r="D347" s="1" t="s">
        <v>5</v>
      </c>
      <c r="E347" s="2">
        <v>42370.457638888889</v>
      </c>
      <c r="F347" s="1" t="s">
        <v>6</v>
      </c>
      <c r="G347" s="1">
        <v>86702</v>
      </c>
      <c r="H347" s="1">
        <v>21</v>
      </c>
      <c r="I347" s="1" t="s">
        <v>79</v>
      </c>
      <c r="J347" s="1">
        <f>+Table2[[#This Row],[Ventas]]/Table2[[#This Row],[Cantidad]]</f>
        <v>4128.666666666667</v>
      </c>
      <c r="K347" s="1" t="str">
        <f>+_xlfn.IFS(Table2[[#This Row],[Ventas]]&gt;200000,"Alta", Table2[[#This Row],[Ventas]]&gt;100000,"Media",TRUE,"Bajo")</f>
        <v>Bajo</v>
      </c>
    </row>
    <row r="348" spans="1:11" x14ac:dyDescent="0.25">
      <c r="A348" s="1" t="s">
        <v>102</v>
      </c>
      <c r="B348" s="1" t="s">
        <v>122</v>
      </c>
      <c r="C348" s="1" t="s">
        <v>92</v>
      </c>
      <c r="D348" s="1" t="s">
        <v>5</v>
      </c>
      <c r="E348" s="2">
        <v>42370.457638888889</v>
      </c>
      <c r="F348" s="1" t="s">
        <v>6</v>
      </c>
      <c r="G348" s="1">
        <v>218040</v>
      </c>
      <c r="H348" s="1">
        <v>32</v>
      </c>
      <c r="I348" s="1" t="s">
        <v>81</v>
      </c>
      <c r="J348" s="1">
        <f>+Table2[[#This Row],[Ventas]]/Table2[[#This Row],[Cantidad]]</f>
        <v>6813.75</v>
      </c>
      <c r="K348" s="1" t="str">
        <f>+_xlfn.IFS(Table2[[#This Row],[Ventas]]&gt;200000,"Alta", Table2[[#This Row],[Ventas]]&gt;100000,"Media",TRUE,"Bajo")</f>
        <v>Alta</v>
      </c>
    </row>
    <row r="349" spans="1:11" x14ac:dyDescent="0.25">
      <c r="A349" s="1" t="s">
        <v>102</v>
      </c>
      <c r="B349" s="1" t="s">
        <v>122</v>
      </c>
      <c r="C349" s="1" t="s">
        <v>92</v>
      </c>
      <c r="D349" s="1" t="s">
        <v>5</v>
      </c>
      <c r="E349" s="2">
        <v>42370.457638888889</v>
      </c>
      <c r="F349" s="1" t="s">
        <v>6</v>
      </c>
      <c r="G349" s="1">
        <v>86031</v>
      </c>
      <c r="H349" s="1">
        <v>40</v>
      </c>
      <c r="I349" s="1" t="s">
        <v>79</v>
      </c>
      <c r="J349" s="1">
        <f>+Table2[[#This Row],[Ventas]]/Table2[[#This Row],[Cantidad]]</f>
        <v>2150.7750000000001</v>
      </c>
      <c r="K349" s="1" t="str">
        <f>+_xlfn.IFS(Table2[[#This Row],[Ventas]]&gt;200000,"Alta", Table2[[#This Row],[Ventas]]&gt;100000,"Media",TRUE,"Bajo")</f>
        <v>Bajo</v>
      </c>
    </row>
    <row r="350" spans="1:11" x14ac:dyDescent="0.25">
      <c r="A350" s="1" t="s">
        <v>102</v>
      </c>
      <c r="B350" s="1" t="s">
        <v>118</v>
      </c>
      <c r="C350" s="1" t="s">
        <v>92</v>
      </c>
      <c r="D350" s="1" t="s">
        <v>5</v>
      </c>
      <c r="E350" s="2">
        <v>42370.457638888889</v>
      </c>
      <c r="F350" s="1" t="s">
        <v>6</v>
      </c>
      <c r="G350" s="1">
        <v>82758</v>
      </c>
      <c r="H350" s="1">
        <v>18</v>
      </c>
      <c r="I350" s="1" t="s">
        <v>79</v>
      </c>
      <c r="J350" s="1">
        <f>+Table2[[#This Row],[Ventas]]/Table2[[#This Row],[Cantidad]]</f>
        <v>4597.666666666667</v>
      </c>
      <c r="K350" s="1" t="str">
        <f>+_xlfn.IFS(Table2[[#This Row],[Ventas]]&gt;200000,"Alta", Table2[[#This Row],[Ventas]]&gt;100000,"Media",TRUE,"Bajo")</f>
        <v>Bajo</v>
      </c>
    </row>
    <row r="351" spans="1:11" x14ac:dyDescent="0.25">
      <c r="A351" s="1" t="s">
        <v>102</v>
      </c>
      <c r="B351" s="1" t="s">
        <v>16</v>
      </c>
      <c r="C351" s="1" t="s">
        <v>92</v>
      </c>
      <c r="D351" s="1" t="s">
        <v>5</v>
      </c>
      <c r="E351" s="2">
        <v>42394.457638888889</v>
      </c>
      <c r="F351" s="1" t="s">
        <v>6</v>
      </c>
      <c r="G351" s="1">
        <v>214887</v>
      </c>
      <c r="H351" s="1">
        <v>32</v>
      </c>
      <c r="I351" s="1" t="s">
        <v>93</v>
      </c>
      <c r="J351" s="1">
        <f>+Table2[[#This Row],[Ventas]]/Table2[[#This Row],[Cantidad]]</f>
        <v>6715.21875</v>
      </c>
      <c r="K351" s="1" t="str">
        <f>+_xlfn.IFS(Table2[[#This Row],[Ventas]]&gt;200000,"Alta", Table2[[#This Row],[Ventas]]&gt;100000,"Media",TRUE,"Bajo")</f>
        <v>Alta</v>
      </c>
    </row>
    <row r="352" spans="1:11" x14ac:dyDescent="0.25">
      <c r="A352" s="1" t="s">
        <v>102</v>
      </c>
      <c r="B352" s="1" t="s">
        <v>108</v>
      </c>
      <c r="C352" s="1" t="s">
        <v>89</v>
      </c>
      <c r="D352" s="1" t="s">
        <v>9</v>
      </c>
      <c r="E352" s="2">
        <v>42370.457638888889</v>
      </c>
      <c r="F352" s="1" t="s">
        <v>12</v>
      </c>
      <c r="G352" s="1">
        <v>213158</v>
      </c>
      <c r="H352" s="1">
        <v>27</v>
      </c>
      <c r="I352" s="1" t="s">
        <v>80</v>
      </c>
      <c r="J352" s="1">
        <f>+Table2[[#This Row],[Ventas]]/Table2[[#This Row],[Cantidad]]</f>
        <v>7894.7407407407409</v>
      </c>
      <c r="K352" s="1" t="str">
        <f>+_xlfn.IFS(Table2[[#This Row],[Ventas]]&gt;200000,"Alta", Table2[[#This Row],[Ventas]]&gt;100000,"Media",TRUE,"Bajo")</f>
        <v>Alta</v>
      </c>
    </row>
    <row r="353" spans="1:11" x14ac:dyDescent="0.25">
      <c r="A353" s="1" t="s">
        <v>102</v>
      </c>
      <c r="B353" s="1" t="s">
        <v>108</v>
      </c>
      <c r="C353" s="1" t="s">
        <v>89</v>
      </c>
      <c r="D353" s="1" t="s">
        <v>9</v>
      </c>
      <c r="E353" s="2">
        <v>42370.457638888889</v>
      </c>
      <c r="F353" s="1" t="s">
        <v>12</v>
      </c>
      <c r="G353" s="1">
        <v>247148</v>
      </c>
      <c r="H353" s="1">
        <v>25</v>
      </c>
      <c r="I353" s="1" t="s">
        <v>82</v>
      </c>
      <c r="J353" s="1">
        <f>+Table2[[#This Row],[Ventas]]/Table2[[#This Row],[Cantidad]]</f>
        <v>9885.92</v>
      </c>
      <c r="K353" s="1" t="str">
        <f>+_xlfn.IFS(Table2[[#This Row],[Ventas]]&gt;200000,"Alta", Table2[[#This Row],[Ventas]]&gt;100000,"Media",TRUE,"Bajo")</f>
        <v>Alta</v>
      </c>
    </row>
    <row r="354" spans="1:11" x14ac:dyDescent="0.25">
      <c r="A354" s="1" t="s">
        <v>102</v>
      </c>
      <c r="B354" s="1" t="s">
        <v>43</v>
      </c>
      <c r="C354" s="1" t="s">
        <v>87</v>
      </c>
      <c r="D354" s="1" t="s">
        <v>9</v>
      </c>
      <c r="E354" s="2">
        <v>42370.457638888889</v>
      </c>
      <c r="F354" s="1" t="s">
        <v>12</v>
      </c>
      <c r="G354" s="1">
        <v>167422</v>
      </c>
      <c r="H354" s="1">
        <v>22</v>
      </c>
      <c r="I354" s="1" t="s">
        <v>81</v>
      </c>
      <c r="J354" s="1">
        <f>+Table2[[#This Row],[Ventas]]/Table2[[#This Row],[Cantidad]]</f>
        <v>7610.090909090909</v>
      </c>
      <c r="K354" s="1" t="str">
        <f>+_xlfn.IFS(Table2[[#This Row],[Ventas]]&gt;200000,"Alta", Table2[[#This Row],[Ventas]]&gt;100000,"Media",TRUE,"Bajo")</f>
        <v>Media</v>
      </c>
    </row>
    <row r="355" spans="1:11" x14ac:dyDescent="0.25">
      <c r="A355" s="1" t="s">
        <v>102</v>
      </c>
      <c r="B355" s="1" t="s">
        <v>122</v>
      </c>
      <c r="C355" s="1" t="s">
        <v>92</v>
      </c>
      <c r="D355" s="1" t="s">
        <v>5</v>
      </c>
      <c r="E355" s="2">
        <v>42370.457638888889</v>
      </c>
      <c r="F355" s="1" t="s">
        <v>6</v>
      </c>
      <c r="G355" s="1">
        <v>122128</v>
      </c>
      <c r="H355" s="1">
        <v>28</v>
      </c>
      <c r="I355" s="1" t="s">
        <v>80</v>
      </c>
      <c r="J355" s="1">
        <f>+Table2[[#This Row],[Ventas]]/Table2[[#This Row],[Cantidad]]</f>
        <v>4361.7142857142853</v>
      </c>
      <c r="K355" s="1" t="str">
        <f>+_xlfn.IFS(Table2[[#This Row],[Ventas]]&gt;200000,"Alta", Table2[[#This Row],[Ventas]]&gt;100000,"Media",TRUE,"Bajo")</f>
        <v>Media</v>
      </c>
    </row>
    <row r="356" spans="1:11" x14ac:dyDescent="0.25">
      <c r="A356" s="1" t="s">
        <v>102</v>
      </c>
      <c r="B356" s="1" t="s">
        <v>122</v>
      </c>
      <c r="C356" s="1" t="s">
        <v>92</v>
      </c>
      <c r="D356" s="1" t="s">
        <v>5</v>
      </c>
      <c r="E356" s="2">
        <v>42370.457638888889</v>
      </c>
      <c r="F356" s="1" t="s">
        <v>6</v>
      </c>
      <c r="G356" s="1">
        <v>109633</v>
      </c>
      <c r="H356" s="1">
        <v>23</v>
      </c>
      <c r="I356" s="1" t="s">
        <v>81</v>
      </c>
      <c r="J356" s="1">
        <f>+Table2[[#This Row],[Ventas]]/Table2[[#This Row],[Cantidad]]</f>
        <v>4766.652173913043</v>
      </c>
      <c r="K356" s="1" t="str">
        <f>+_xlfn.IFS(Table2[[#This Row],[Ventas]]&gt;200000,"Alta", Table2[[#This Row],[Ventas]]&gt;100000,"Media",TRUE,"Bajo")</f>
        <v>Media</v>
      </c>
    </row>
    <row r="357" spans="1:11" x14ac:dyDescent="0.25">
      <c r="A357" s="1" t="s">
        <v>102</v>
      </c>
      <c r="B357" s="1" t="s">
        <v>118</v>
      </c>
      <c r="C357" s="1" t="s">
        <v>92</v>
      </c>
      <c r="D357" s="1" t="s">
        <v>5</v>
      </c>
      <c r="E357" s="2">
        <v>42370.457638888889</v>
      </c>
      <c r="F357" s="1" t="s">
        <v>6</v>
      </c>
      <c r="G357" s="1">
        <v>167740</v>
      </c>
      <c r="H357" s="1">
        <v>19</v>
      </c>
      <c r="I357" s="1" t="s">
        <v>81</v>
      </c>
      <c r="J357" s="1">
        <f>+Table2[[#This Row],[Ventas]]/Table2[[#This Row],[Cantidad]]</f>
        <v>8828.4210526315783</v>
      </c>
      <c r="K357" s="1" t="str">
        <f>+_xlfn.IFS(Table2[[#This Row],[Ventas]]&gt;200000,"Alta", Table2[[#This Row],[Ventas]]&gt;100000,"Media",TRUE,"Bajo")</f>
        <v>Media</v>
      </c>
    </row>
    <row r="358" spans="1:11" x14ac:dyDescent="0.25">
      <c r="A358" s="1" t="s">
        <v>102</v>
      </c>
      <c r="B358" s="1" t="s">
        <v>149</v>
      </c>
      <c r="C358" s="1" t="s">
        <v>90</v>
      </c>
      <c r="D358" s="1" t="s">
        <v>9</v>
      </c>
      <c r="E358" s="2">
        <v>42370.457638888889</v>
      </c>
      <c r="F358" s="1" t="s">
        <v>6</v>
      </c>
      <c r="G358" s="1">
        <v>206146</v>
      </c>
      <c r="H358" s="1">
        <v>31</v>
      </c>
      <c r="I358" s="1" t="s">
        <v>80</v>
      </c>
      <c r="J358" s="1">
        <f>+Table2[[#This Row],[Ventas]]/Table2[[#This Row],[Cantidad]]</f>
        <v>6649.8709677419356</v>
      </c>
      <c r="K358" s="1" t="str">
        <f>+_xlfn.IFS(Table2[[#This Row],[Ventas]]&gt;200000,"Alta", Table2[[#This Row],[Ventas]]&gt;100000,"Media",TRUE,"Bajo")</f>
        <v>Alta</v>
      </c>
    </row>
    <row r="359" spans="1:11" x14ac:dyDescent="0.25">
      <c r="A359" s="1" t="s">
        <v>95</v>
      </c>
      <c r="B359" s="1" t="s">
        <v>147</v>
      </c>
      <c r="C359" s="1" t="s">
        <v>91</v>
      </c>
      <c r="D359" s="1" t="s">
        <v>9</v>
      </c>
      <c r="E359" s="2">
        <v>42186.457638888889</v>
      </c>
      <c r="F359" s="1" t="s">
        <v>7</v>
      </c>
      <c r="G359" s="1">
        <v>207279</v>
      </c>
      <c r="H359" s="1">
        <v>32</v>
      </c>
      <c r="I359" s="1" t="s">
        <v>79</v>
      </c>
      <c r="J359" s="1">
        <f>+Table2[[#This Row],[Ventas]]/Table2[[#This Row],[Cantidad]]</f>
        <v>6477.46875</v>
      </c>
      <c r="K359" s="1" t="str">
        <f>+_xlfn.IFS(Table2[[#This Row],[Ventas]]&gt;200000,"Alta", Table2[[#This Row],[Ventas]]&gt;100000,"Media",TRUE,"Bajo")</f>
        <v>Alta</v>
      </c>
    </row>
    <row r="360" spans="1:11" x14ac:dyDescent="0.25">
      <c r="A360" s="1" t="s">
        <v>95</v>
      </c>
      <c r="B360" s="1" t="s">
        <v>140</v>
      </c>
      <c r="C360" s="1" t="s">
        <v>88</v>
      </c>
      <c r="D360" s="1" t="s">
        <v>9</v>
      </c>
      <c r="E360" s="2">
        <v>42186.457638888889</v>
      </c>
      <c r="F360" s="1" t="s">
        <v>6</v>
      </c>
      <c r="G360" s="1">
        <v>141765</v>
      </c>
      <c r="H360" s="1">
        <v>25</v>
      </c>
      <c r="I360" s="1" t="s">
        <v>82</v>
      </c>
      <c r="J360" s="1">
        <f>+Table2[[#This Row],[Ventas]]/Table2[[#This Row],[Cantidad]]</f>
        <v>5670.6</v>
      </c>
      <c r="K360" s="1" t="str">
        <f>+_xlfn.IFS(Table2[[#This Row],[Ventas]]&gt;200000,"Alta", Table2[[#This Row],[Ventas]]&gt;100000,"Media",TRUE,"Bajo")</f>
        <v>Media</v>
      </c>
    </row>
    <row r="361" spans="1:11" x14ac:dyDescent="0.25">
      <c r="A361" s="1" t="s">
        <v>96</v>
      </c>
      <c r="B361" s="1" t="s">
        <v>140</v>
      </c>
      <c r="C361" s="1" t="s">
        <v>88</v>
      </c>
      <c r="D361" s="1" t="s">
        <v>9</v>
      </c>
      <c r="E361" s="2">
        <v>42186.457638888889</v>
      </c>
      <c r="F361" s="1" t="s">
        <v>6</v>
      </c>
      <c r="G361" s="1">
        <v>98184</v>
      </c>
      <c r="H361" s="1">
        <v>37</v>
      </c>
      <c r="I361" s="1" t="s">
        <v>79</v>
      </c>
      <c r="J361" s="1">
        <f>+Table2[[#This Row],[Ventas]]/Table2[[#This Row],[Cantidad]]</f>
        <v>2653.6216216216217</v>
      </c>
      <c r="K361" s="1" t="str">
        <f>+_xlfn.IFS(Table2[[#This Row],[Ventas]]&gt;200000,"Alta", Table2[[#This Row],[Ventas]]&gt;100000,"Media",TRUE,"Bajo")</f>
        <v>Bajo</v>
      </c>
    </row>
    <row r="362" spans="1:11" x14ac:dyDescent="0.25">
      <c r="A362" s="1" t="s">
        <v>96</v>
      </c>
      <c r="B362" s="1" t="s">
        <v>126</v>
      </c>
      <c r="C362" s="1" t="s">
        <v>91</v>
      </c>
      <c r="D362" s="1" t="s">
        <v>9</v>
      </c>
      <c r="E362" s="2">
        <v>42186.457638888889</v>
      </c>
      <c r="F362" s="1" t="s">
        <v>7</v>
      </c>
      <c r="G362" s="1">
        <v>143852</v>
      </c>
      <c r="H362" s="1">
        <v>16</v>
      </c>
      <c r="I362" s="1" t="s">
        <v>81</v>
      </c>
      <c r="J362" s="1">
        <f>+Table2[[#This Row],[Ventas]]/Table2[[#This Row],[Cantidad]]</f>
        <v>8990.75</v>
      </c>
      <c r="K362" s="1" t="str">
        <f>+_xlfn.IFS(Table2[[#This Row],[Ventas]]&gt;200000,"Alta", Table2[[#This Row],[Ventas]]&gt;100000,"Media",TRUE,"Bajo")</f>
        <v>Media</v>
      </c>
    </row>
    <row r="363" spans="1:11" x14ac:dyDescent="0.25">
      <c r="A363" s="1" t="s">
        <v>96</v>
      </c>
      <c r="B363" s="1" t="s">
        <v>127</v>
      </c>
      <c r="C363" s="1" t="s">
        <v>84</v>
      </c>
      <c r="D363" s="1" t="s">
        <v>5</v>
      </c>
      <c r="E363" s="2">
        <v>42202.457638888889</v>
      </c>
      <c r="F363" s="1" t="s">
        <v>6</v>
      </c>
      <c r="G363" s="1">
        <v>145865</v>
      </c>
      <c r="H363" s="1">
        <v>32</v>
      </c>
      <c r="I363" s="1" t="s">
        <v>81</v>
      </c>
      <c r="J363" s="1">
        <f>+Table2[[#This Row],[Ventas]]/Table2[[#This Row],[Cantidad]]</f>
        <v>4558.28125</v>
      </c>
      <c r="K363" s="1" t="str">
        <f>+_xlfn.IFS(Table2[[#This Row],[Ventas]]&gt;200000,"Alta", Table2[[#This Row],[Ventas]]&gt;100000,"Media",TRUE,"Bajo")</f>
        <v>Media</v>
      </c>
    </row>
    <row r="364" spans="1:11" x14ac:dyDescent="0.25">
      <c r="A364" s="1" t="s">
        <v>96</v>
      </c>
      <c r="B364" s="1" t="s">
        <v>62</v>
      </c>
      <c r="C364" s="1" t="s">
        <v>91</v>
      </c>
      <c r="D364" s="1" t="s">
        <v>9</v>
      </c>
      <c r="E364" s="2">
        <v>42214.457638888889</v>
      </c>
      <c r="F364" s="1" t="s">
        <v>12</v>
      </c>
      <c r="G364" s="1">
        <v>238566</v>
      </c>
      <c r="H364" s="1">
        <v>18</v>
      </c>
      <c r="I364" s="1" t="s">
        <v>79</v>
      </c>
      <c r="J364" s="1">
        <f>+Table2[[#This Row],[Ventas]]/Table2[[#This Row],[Cantidad]]</f>
        <v>13253.666666666666</v>
      </c>
      <c r="K364" s="1" t="str">
        <f>+_xlfn.IFS(Table2[[#This Row],[Ventas]]&gt;200000,"Alta", Table2[[#This Row],[Ventas]]&gt;100000,"Media",TRUE,"Bajo")</f>
        <v>Alta</v>
      </c>
    </row>
    <row r="365" spans="1:11" x14ac:dyDescent="0.25">
      <c r="A365" s="1" t="s">
        <v>96</v>
      </c>
      <c r="B365" s="1" t="s">
        <v>140</v>
      </c>
      <c r="C365" s="1" t="s">
        <v>88</v>
      </c>
      <c r="D365" s="1" t="s">
        <v>9</v>
      </c>
      <c r="E365" s="2">
        <v>42186.457638888889</v>
      </c>
      <c r="F365" s="1" t="s">
        <v>6</v>
      </c>
      <c r="G365" s="1">
        <v>170460</v>
      </c>
      <c r="H365" s="1">
        <v>39</v>
      </c>
      <c r="I365" s="1" t="s">
        <v>81</v>
      </c>
      <c r="J365" s="1">
        <f>+Table2[[#This Row],[Ventas]]/Table2[[#This Row],[Cantidad]]</f>
        <v>4370.7692307692305</v>
      </c>
      <c r="K365" s="1" t="str">
        <f>+_xlfn.IFS(Table2[[#This Row],[Ventas]]&gt;200000,"Alta", Table2[[#This Row],[Ventas]]&gt;100000,"Media",TRUE,"Bajo")</f>
        <v>Media</v>
      </c>
    </row>
    <row r="366" spans="1:11" x14ac:dyDescent="0.25">
      <c r="A366" s="1" t="s">
        <v>96</v>
      </c>
      <c r="B366" s="1" t="s">
        <v>126</v>
      </c>
      <c r="C366" s="1" t="s">
        <v>91</v>
      </c>
      <c r="D366" s="1" t="s">
        <v>9</v>
      </c>
      <c r="E366" s="2">
        <v>42186.457638888889</v>
      </c>
      <c r="F366" s="1" t="s">
        <v>7</v>
      </c>
      <c r="G366" s="1">
        <v>244710</v>
      </c>
      <c r="H366" s="1">
        <v>28</v>
      </c>
      <c r="I366" s="1" t="s">
        <v>81</v>
      </c>
      <c r="J366" s="1">
        <f>+Table2[[#This Row],[Ventas]]/Table2[[#This Row],[Cantidad]]</f>
        <v>8739.6428571428569</v>
      </c>
      <c r="K366" s="1" t="str">
        <f>+_xlfn.IFS(Table2[[#This Row],[Ventas]]&gt;200000,"Alta", Table2[[#This Row],[Ventas]]&gt;100000,"Media",TRUE,"Bajo")</f>
        <v>Alta</v>
      </c>
    </row>
    <row r="367" spans="1:11" x14ac:dyDescent="0.25">
      <c r="A367" s="1" t="s">
        <v>96</v>
      </c>
      <c r="B367" s="1" t="s">
        <v>141</v>
      </c>
      <c r="C367" s="1" t="s">
        <v>84</v>
      </c>
      <c r="D367" s="1" t="s">
        <v>5</v>
      </c>
      <c r="E367" s="2">
        <v>42186.457638888889</v>
      </c>
      <c r="F367" s="1" t="s">
        <v>12</v>
      </c>
      <c r="G367" s="1">
        <v>188140</v>
      </c>
      <c r="H367" s="1">
        <v>18</v>
      </c>
      <c r="I367" s="1" t="s">
        <v>80</v>
      </c>
      <c r="J367" s="1">
        <f>+Table2[[#This Row],[Ventas]]/Table2[[#This Row],[Cantidad]]</f>
        <v>10452.222222222223</v>
      </c>
      <c r="K367" s="1" t="str">
        <f>+_xlfn.IFS(Table2[[#This Row],[Ventas]]&gt;200000,"Alta", Table2[[#This Row],[Ventas]]&gt;100000,"Media",TRUE,"Bajo")</f>
        <v>Media</v>
      </c>
    </row>
    <row r="368" spans="1:11" x14ac:dyDescent="0.25">
      <c r="A368" s="1" t="s">
        <v>96</v>
      </c>
      <c r="B368" s="1" t="s">
        <v>141</v>
      </c>
      <c r="C368" s="1" t="s">
        <v>85</v>
      </c>
      <c r="D368" s="1" t="s">
        <v>5</v>
      </c>
      <c r="E368" s="2">
        <v>42186.457638888889</v>
      </c>
      <c r="F368" s="1" t="s">
        <v>12</v>
      </c>
      <c r="G368" s="1">
        <v>221649</v>
      </c>
      <c r="H368" s="1">
        <v>37</v>
      </c>
      <c r="I368" s="1" t="s">
        <v>81</v>
      </c>
      <c r="J368" s="1">
        <f>+Table2[[#This Row],[Ventas]]/Table2[[#This Row],[Cantidad]]</f>
        <v>5990.5135135135133</v>
      </c>
      <c r="K368" s="1" t="str">
        <f>+_xlfn.IFS(Table2[[#This Row],[Ventas]]&gt;200000,"Alta", Table2[[#This Row],[Ventas]]&gt;100000,"Media",TRUE,"Bajo")</f>
        <v>Alta</v>
      </c>
    </row>
    <row r="369" spans="1:11" x14ac:dyDescent="0.25">
      <c r="A369" s="1" t="s">
        <v>96</v>
      </c>
      <c r="B369" s="1" t="s">
        <v>141</v>
      </c>
      <c r="C369" s="1" t="s">
        <v>85</v>
      </c>
      <c r="D369" s="1" t="s">
        <v>5</v>
      </c>
      <c r="E369" s="2">
        <v>42186.457638888889</v>
      </c>
      <c r="F369" s="1" t="s">
        <v>6</v>
      </c>
      <c r="G369" s="1">
        <v>52283</v>
      </c>
      <c r="H369" s="1">
        <v>32</v>
      </c>
      <c r="I369" s="1" t="s">
        <v>81</v>
      </c>
      <c r="J369" s="1">
        <f>+Table2[[#This Row],[Ventas]]/Table2[[#This Row],[Cantidad]]</f>
        <v>1633.84375</v>
      </c>
      <c r="K369" s="1" t="str">
        <f>+_xlfn.IFS(Table2[[#This Row],[Ventas]]&gt;200000,"Alta", Table2[[#This Row],[Ventas]]&gt;100000,"Media",TRUE,"Bajo")</f>
        <v>Bajo</v>
      </c>
    </row>
    <row r="370" spans="1:11" x14ac:dyDescent="0.25">
      <c r="A370" s="1" t="s">
        <v>97</v>
      </c>
      <c r="B370" s="1" t="s">
        <v>114</v>
      </c>
      <c r="C370" s="1" t="s">
        <v>92</v>
      </c>
      <c r="D370" s="1" t="s">
        <v>5</v>
      </c>
      <c r="E370" s="2">
        <v>42215.457638888889</v>
      </c>
      <c r="F370" s="1" t="s">
        <v>6</v>
      </c>
      <c r="G370" s="1">
        <v>189756</v>
      </c>
      <c r="H370" s="1">
        <v>37</v>
      </c>
      <c r="I370" s="1" t="s">
        <v>80</v>
      </c>
      <c r="J370" s="1">
        <f>+Table2[[#This Row],[Ventas]]/Table2[[#This Row],[Cantidad]]</f>
        <v>5128.5405405405409</v>
      </c>
      <c r="K370" s="1" t="str">
        <f>+_xlfn.IFS(Table2[[#This Row],[Ventas]]&gt;200000,"Alta", Table2[[#This Row],[Ventas]]&gt;100000,"Media",TRUE,"Bajo")</f>
        <v>Media</v>
      </c>
    </row>
    <row r="371" spans="1:11" x14ac:dyDescent="0.25">
      <c r="A371" s="1" t="s">
        <v>97</v>
      </c>
      <c r="B371" s="1" t="s">
        <v>147</v>
      </c>
      <c r="C371" s="1" t="s">
        <v>91</v>
      </c>
      <c r="D371" s="1" t="s">
        <v>9</v>
      </c>
      <c r="E371" s="2">
        <v>42186.457638888889</v>
      </c>
      <c r="F371" s="1" t="s">
        <v>6</v>
      </c>
      <c r="G371" s="1">
        <v>140881</v>
      </c>
      <c r="H371" s="1">
        <v>20</v>
      </c>
      <c r="I371" s="1" t="s">
        <v>80</v>
      </c>
      <c r="J371" s="1">
        <f>+Table2[[#This Row],[Ventas]]/Table2[[#This Row],[Cantidad]]</f>
        <v>7044.05</v>
      </c>
      <c r="K371" s="1" t="str">
        <f>+_xlfn.IFS(Table2[[#This Row],[Ventas]]&gt;200000,"Alta", Table2[[#This Row],[Ventas]]&gt;100000,"Media",TRUE,"Bajo")</f>
        <v>Media</v>
      </c>
    </row>
    <row r="372" spans="1:11" x14ac:dyDescent="0.25">
      <c r="A372" s="1" t="s">
        <v>97</v>
      </c>
      <c r="B372" s="1" t="s">
        <v>140</v>
      </c>
      <c r="C372" s="1" t="s">
        <v>88</v>
      </c>
      <c r="D372" s="1" t="s">
        <v>9</v>
      </c>
      <c r="E372" s="2">
        <v>42186.457638888889</v>
      </c>
      <c r="F372" s="1" t="s">
        <v>6</v>
      </c>
      <c r="G372" s="1">
        <v>61931</v>
      </c>
      <c r="H372" s="1">
        <v>16</v>
      </c>
      <c r="I372" s="1" t="s">
        <v>79</v>
      </c>
      <c r="J372" s="1">
        <f>+Table2[[#This Row],[Ventas]]/Table2[[#This Row],[Cantidad]]</f>
        <v>3870.6875</v>
      </c>
      <c r="K372" s="1" t="str">
        <f>+_xlfn.IFS(Table2[[#This Row],[Ventas]]&gt;200000,"Alta", Table2[[#This Row],[Ventas]]&gt;100000,"Media",TRUE,"Bajo")</f>
        <v>Bajo</v>
      </c>
    </row>
    <row r="373" spans="1:11" x14ac:dyDescent="0.25">
      <c r="A373" s="1" t="s">
        <v>97</v>
      </c>
      <c r="B373" s="1" t="s">
        <v>140</v>
      </c>
      <c r="C373" s="1" t="s">
        <v>88</v>
      </c>
      <c r="D373" s="1" t="s">
        <v>9</v>
      </c>
      <c r="E373" s="2">
        <v>42186.457638888889</v>
      </c>
      <c r="F373" s="1" t="s">
        <v>6</v>
      </c>
      <c r="G373" s="1">
        <v>111214</v>
      </c>
      <c r="H373" s="1">
        <v>25</v>
      </c>
      <c r="I373" s="1" t="s">
        <v>79</v>
      </c>
      <c r="J373" s="1">
        <f>+Table2[[#This Row],[Ventas]]/Table2[[#This Row],[Cantidad]]</f>
        <v>4448.5600000000004</v>
      </c>
      <c r="K373" s="1" t="str">
        <f>+_xlfn.IFS(Table2[[#This Row],[Ventas]]&gt;200000,"Alta", Table2[[#This Row],[Ventas]]&gt;100000,"Media",TRUE,"Bajo")</f>
        <v>Media</v>
      </c>
    </row>
    <row r="374" spans="1:11" x14ac:dyDescent="0.25">
      <c r="A374" s="1" t="s">
        <v>97</v>
      </c>
      <c r="B374" s="1" t="s">
        <v>105</v>
      </c>
      <c r="C374" s="1" t="s">
        <v>92</v>
      </c>
      <c r="D374" s="1" t="s">
        <v>5</v>
      </c>
      <c r="E374" s="2">
        <v>42186.457638888889</v>
      </c>
      <c r="F374" s="1" t="s">
        <v>7</v>
      </c>
      <c r="G374" s="1">
        <v>155974</v>
      </c>
      <c r="H374" s="1">
        <v>30</v>
      </c>
      <c r="I374" s="1" t="s">
        <v>80</v>
      </c>
      <c r="J374" s="1">
        <f>+Table2[[#This Row],[Ventas]]/Table2[[#This Row],[Cantidad]]</f>
        <v>5199.1333333333332</v>
      </c>
      <c r="K374" s="1" t="str">
        <f>+_xlfn.IFS(Table2[[#This Row],[Ventas]]&gt;200000,"Alta", Table2[[#This Row],[Ventas]]&gt;100000,"Media",TRUE,"Bajo")</f>
        <v>Media</v>
      </c>
    </row>
    <row r="375" spans="1:11" x14ac:dyDescent="0.25">
      <c r="A375" s="1" t="s">
        <v>97</v>
      </c>
      <c r="B375" s="1" t="s">
        <v>106</v>
      </c>
      <c r="C375" s="1" t="s">
        <v>91</v>
      </c>
      <c r="D375" s="1" t="s">
        <v>9</v>
      </c>
      <c r="E375" s="2">
        <v>42186.457638888889</v>
      </c>
      <c r="F375" s="1" t="s">
        <v>7</v>
      </c>
      <c r="G375" s="1">
        <v>148946</v>
      </c>
      <c r="H375" s="1">
        <v>31</v>
      </c>
      <c r="I375" s="1" t="s">
        <v>79</v>
      </c>
      <c r="J375" s="1">
        <f>+Table2[[#This Row],[Ventas]]/Table2[[#This Row],[Cantidad]]</f>
        <v>4804.7096774193551</v>
      </c>
      <c r="K375" s="1" t="str">
        <f>+_xlfn.IFS(Table2[[#This Row],[Ventas]]&gt;200000,"Alta", Table2[[#This Row],[Ventas]]&gt;100000,"Media",TRUE,"Bajo")</f>
        <v>Media</v>
      </c>
    </row>
    <row r="376" spans="1:11" x14ac:dyDescent="0.25">
      <c r="A376" s="1" t="s">
        <v>97</v>
      </c>
      <c r="B376" s="1" t="s">
        <v>141</v>
      </c>
      <c r="C376" s="1" t="s">
        <v>84</v>
      </c>
      <c r="D376" s="1" t="s">
        <v>5</v>
      </c>
      <c r="E376" s="2">
        <v>42186.457638888889</v>
      </c>
      <c r="F376" s="1" t="s">
        <v>12</v>
      </c>
      <c r="G376" s="1">
        <v>204161</v>
      </c>
      <c r="H376" s="1">
        <v>30</v>
      </c>
      <c r="I376" s="1" t="s">
        <v>79</v>
      </c>
      <c r="J376" s="1">
        <f>+Table2[[#This Row],[Ventas]]/Table2[[#This Row],[Cantidad]]</f>
        <v>6805.3666666666668</v>
      </c>
      <c r="K376" s="1" t="str">
        <f>+_xlfn.IFS(Table2[[#This Row],[Ventas]]&gt;200000,"Alta", Table2[[#This Row],[Ventas]]&gt;100000,"Media",TRUE,"Bajo")</f>
        <v>Alta</v>
      </c>
    </row>
    <row r="377" spans="1:11" x14ac:dyDescent="0.25">
      <c r="A377" s="1" t="s">
        <v>97</v>
      </c>
      <c r="B377" s="1" t="s">
        <v>73</v>
      </c>
      <c r="C377" s="1" t="s">
        <v>92</v>
      </c>
      <c r="D377" s="1" t="s">
        <v>5</v>
      </c>
      <c r="E377" s="2">
        <v>42200.457638888889</v>
      </c>
      <c r="F377" s="1" t="s">
        <v>6</v>
      </c>
      <c r="G377" s="1">
        <v>229428</v>
      </c>
      <c r="H377" s="1">
        <v>42</v>
      </c>
      <c r="I377" s="1" t="s">
        <v>82</v>
      </c>
      <c r="J377" s="1">
        <f>+Table2[[#This Row],[Ventas]]/Table2[[#This Row],[Cantidad]]</f>
        <v>5462.5714285714284</v>
      </c>
      <c r="K377" s="1" t="str">
        <f>+_xlfn.IFS(Table2[[#This Row],[Ventas]]&gt;200000,"Alta", Table2[[#This Row],[Ventas]]&gt;100000,"Media",TRUE,"Bajo")</f>
        <v>Alta</v>
      </c>
    </row>
    <row r="378" spans="1:11" x14ac:dyDescent="0.25">
      <c r="A378" s="1" t="s">
        <v>98</v>
      </c>
      <c r="B378" s="1" t="s">
        <v>4</v>
      </c>
      <c r="C378" s="1" t="s">
        <v>92</v>
      </c>
      <c r="D378" s="1" t="s">
        <v>5</v>
      </c>
      <c r="E378" s="2">
        <v>42215.457638888889</v>
      </c>
      <c r="F378" s="1" t="s">
        <v>7</v>
      </c>
      <c r="G378" s="1">
        <v>109089</v>
      </c>
      <c r="H378" s="1">
        <v>20</v>
      </c>
      <c r="I378" s="1" t="s">
        <v>93</v>
      </c>
      <c r="J378" s="1">
        <f>+Table2[[#This Row],[Ventas]]/Table2[[#This Row],[Cantidad]]</f>
        <v>5454.45</v>
      </c>
      <c r="K378" s="1" t="str">
        <f>+_xlfn.IFS(Table2[[#This Row],[Ventas]]&gt;200000,"Alta", Table2[[#This Row],[Ventas]]&gt;100000,"Media",TRUE,"Bajo")</f>
        <v>Media</v>
      </c>
    </row>
    <row r="379" spans="1:11" x14ac:dyDescent="0.25">
      <c r="A379" s="1" t="s">
        <v>98</v>
      </c>
      <c r="B379" s="1" t="s">
        <v>140</v>
      </c>
      <c r="C379" s="1" t="s">
        <v>88</v>
      </c>
      <c r="D379" s="1" t="s">
        <v>9</v>
      </c>
      <c r="E379" s="2">
        <v>42186.457638888889</v>
      </c>
      <c r="F379" s="1" t="s">
        <v>6</v>
      </c>
      <c r="G379" s="1">
        <v>120701</v>
      </c>
      <c r="H379" s="1">
        <v>20</v>
      </c>
      <c r="I379" s="1" t="s">
        <v>79</v>
      </c>
      <c r="J379" s="1">
        <f>+Table2[[#This Row],[Ventas]]/Table2[[#This Row],[Cantidad]]</f>
        <v>6035.05</v>
      </c>
      <c r="K379" s="1" t="str">
        <f>+_xlfn.IFS(Table2[[#This Row],[Ventas]]&gt;200000,"Alta", Table2[[#This Row],[Ventas]]&gt;100000,"Media",TRUE,"Bajo")</f>
        <v>Media</v>
      </c>
    </row>
    <row r="380" spans="1:11" x14ac:dyDescent="0.25">
      <c r="A380" s="1" t="s">
        <v>98</v>
      </c>
      <c r="B380" s="1" t="s">
        <v>15</v>
      </c>
      <c r="C380" s="1" t="s">
        <v>92</v>
      </c>
      <c r="D380" s="1" t="s">
        <v>5</v>
      </c>
      <c r="E380" s="2">
        <v>42186.457638888889</v>
      </c>
      <c r="F380" s="1" t="s">
        <v>7</v>
      </c>
      <c r="G380" s="1">
        <v>85080</v>
      </c>
      <c r="H380" s="1">
        <v>28</v>
      </c>
      <c r="I380" s="1" t="s">
        <v>79</v>
      </c>
      <c r="J380" s="1">
        <f>+Table2[[#This Row],[Ventas]]/Table2[[#This Row],[Cantidad]]</f>
        <v>3038.5714285714284</v>
      </c>
      <c r="K380" s="1" t="str">
        <f>+_xlfn.IFS(Table2[[#This Row],[Ventas]]&gt;200000,"Alta", Table2[[#This Row],[Ventas]]&gt;100000,"Media",TRUE,"Bajo")</f>
        <v>Bajo</v>
      </c>
    </row>
    <row r="381" spans="1:11" x14ac:dyDescent="0.25">
      <c r="A381" s="1" t="s">
        <v>98</v>
      </c>
      <c r="B381" s="1" t="s">
        <v>124</v>
      </c>
      <c r="C381" s="1" t="s">
        <v>92</v>
      </c>
      <c r="D381" s="1" t="s">
        <v>5</v>
      </c>
      <c r="E381" s="2">
        <v>42186.457638888889</v>
      </c>
      <c r="F381" s="1" t="s">
        <v>7</v>
      </c>
      <c r="G381" s="1">
        <v>64098</v>
      </c>
      <c r="H381" s="1">
        <v>29</v>
      </c>
      <c r="I381" s="1" t="s">
        <v>80</v>
      </c>
      <c r="J381" s="1">
        <f>+Table2[[#This Row],[Ventas]]/Table2[[#This Row],[Cantidad]]</f>
        <v>2210.2758620689656</v>
      </c>
      <c r="K381" s="1" t="str">
        <f>+_xlfn.IFS(Table2[[#This Row],[Ventas]]&gt;200000,"Alta", Table2[[#This Row],[Ventas]]&gt;100000,"Media",TRUE,"Bajo")</f>
        <v>Bajo</v>
      </c>
    </row>
    <row r="382" spans="1:11" x14ac:dyDescent="0.25">
      <c r="A382" s="1" t="s">
        <v>98</v>
      </c>
      <c r="B382" s="1" t="s">
        <v>141</v>
      </c>
      <c r="C382" s="1" t="s">
        <v>84</v>
      </c>
      <c r="D382" s="1" t="s">
        <v>5</v>
      </c>
      <c r="E382" s="2">
        <v>42186.457638888889</v>
      </c>
      <c r="F382" s="1" t="s">
        <v>12</v>
      </c>
      <c r="G382" s="1">
        <v>91885</v>
      </c>
      <c r="H382" s="1">
        <v>26</v>
      </c>
      <c r="I382" s="1" t="s">
        <v>82</v>
      </c>
      <c r="J382" s="1">
        <f>+Table2[[#This Row],[Ventas]]/Table2[[#This Row],[Cantidad]]</f>
        <v>3534.0384615384614</v>
      </c>
      <c r="K382" s="1" t="str">
        <f>+_xlfn.IFS(Table2[[#This Row],[Ventas]]&gt;200000,"Alta", Table2[[#This Row],[Ventas]]&gt;100000,"Media",TRUE,"Bajo")</f>
        <v>Bajo</v>
      </c>
    </row>
    <row r="383" spans="1:11" x14ac:dyDescent="0.25">
      <c r="A383" s="1" t="s">
        <v>98</v>
      </c>
      <c r="B383" s="1" t="s">
        <v>141</v>
      </c>
      <c r="C383" s="1" t="s">
        <v>84</v>
      </c>
      <c r="D383" s="1" t="s">
        <v>5</v>
      </c>
      <c r="E383" s="2">
        <v>42186.457638888889</v>
      </c>
      <c r="F383" s="1" t="s">
        <v>12</v>
      </c>
      <c r="G383" s="1">
        <v>116600</v>
      </c>
      <c r="H383" s="1">
        <v>38</v>
      </c>
      <c r="I383" s="1" t="s">
        <v>79</v>
      </c>
      <c r="J383" s="1">
        <f>+Table2[[#This Row],[Ventas]]/Table2[[#This Row],[Cantidad]]</f>
        <v>3068.4210526315787</v>
      </c>
      <c r="K383" s="1" t="str">
        <f>+_xlfn.IFS(Table2[[#This Row],[Ventas]]&gt;200000,"Alta", Table2[[#This Row],[Ventas]]&gt;100000,"Media",TRUE,"Bajo")</f>
        <v>Media</v>
      </c>
    </row>
    <row r="384" spans="1:11" x14ac:dyDescent="0.25">
      <c r="A384" s="1" t="s">
        <v>98</v>
      </c>
      <c r="B384" s="1" t="s">
        <v>141</v>
      </c>
      <c r="C384" s="1" t="s">
        <v>85</v>
      </c>
      <c r="D384" s="1" t="s">
        <v>5</v>
      </c>
      <c r="E384" s="2">
        <v>42186.457638888889</v>
      </c>
      <c r="F384" s="1" t="s">
        <v>12</v>
      </c>
      <c r="G384" s="1">
        <v>83595</v>
      </c>
      <c r="H384" s="1">
        <v>42</v>
      </c>
      <c r="I384" s="1" t="s">
        <v>81</v>
      </c>
      <c r="J384" s="1">
        <f>+Table2[[#This Row],[Ventas]]/Table2[[#This Row],[Cantidad]]</f>
        <v>1990.3571428571429</v>
      </c>
      <c r="K384" s="1" t="str">
        <f>+_xlfn.IFS(Table2[[#This Row],[Ventas]]&gt;200000,"Alta", Table2[[#This Row],[Ventas]]&gt;100000,"Media",TRUE,"Bajo")</f>
        <v>Bajo</v>
      </c>
    </row>
    <row r="385" spans="1:11" x14ac:dyDescent="0.25">
      <c r="A385" s="1" t="s">
        <v>98</v>
      </c>
      <c r="B385" s="1" t="s">
        <v>127</v>
      </c>
      <c r="C385" s="1" t="s">
        <v>84</v>
      </c>
      <c r="D385" s="1" t="s">
        <v>5</v>
      </c>
      <c r="E385" s="2">
        <v>42202.457638888889</v>
      </c>
      <c r="F385" s="1" t="s">
        <v>6</v>
      </c>
      <c r="G385" s="1">
        <v>148864</v>
      </c>
      <c r="H385" s="1">
        <v>40</v>
      </c>
      <c r="I385" s="1" t="s">
        <v>79</v>
      </c>
      <c r="J385" s="1">
        <f>+Table2[[#This Row],[Ventas]]/Table2[[#This Row],[Cantidad]]</f>
        <v>3721.6</v>
      </c>
      <c r="K385" s="1" t="str">
        <f>+_xlfn.IFS(Table2[[#This Row],[Ventas]]&gt;200000,"Alta", Table2[[#This Row],[Ventas]]&gt;100000,"Media",TRUE,"Bajo")</f>
        <v>Media</v>
      </c>
    </row>
    <row r="386" spans="1:11" x14ac:dyDescent="0.25">
      <c r="A386" s="1" t="s">
        <v>98</v>
      </c>
      <c r="B386" s="1" t="s">
        <v>141</v>
      </c>
      <c r="C386" s="1" t="s">
        <v>85</v>
      </c>
      <c r="D386" s="1" t="s">
        <v>5</v>
      </c>
      <c r="E386" s="2">
        <v>42186.457638888889</v>
      </c>
      <c r="F386" s="1" t="s">
        <v>6</v>
      </c>
      <c r="G386" s="1">
        <v>173560</v>
      </c>
      <c r="H386" s="1">
        <v>28</v>
      </c>
      <c r="I386" s="1" t="s">
        <v>79</v>
      </c>
      <c r="J386" s="1">
        <f>+Table2[[#This Row],[Ventas]]/Table2[[#This Row],[Cantidad]]</f>
        <v>6198.5714285714284</v>
      </c>
      <c r="K386" s="1" t="str">
        <f>+_xlfn.IFS(Table2[[#This Row],[Ventas]]&gt;200000,"Alta", Table2[[#This Row],[Ventas]]&gt;100000,"Media",TRUE,"Bajo")</f>
        <v>Media</v>
      </c>
    </row>
    <row r="387" spans="1:11" x14ac:dyDescent="0.25">
      <c r="A387" s="1" t="s">
        <v>98</v>
      </c>
      <c r="B387" s="1" t="s">
        <v>129</v>
      </c>
      <c r="C387" s="1" t="s">
        <v>91</v>
      </c>
      <c r="D387" s="1" t="s">
        <v>9</v>
      </c>
      <c r="E387" s="2">
        <v>42208.457638888889</v>
      </c>
      <c r="F387" s="1" t="s">
        <v>7</v>
      </c>
      <c r="G387" s="1">
        <v>120175</v>
      </c>
      <c r="H387" s="1">
        <v>19</v>
      </c>
      <c r="I387" s="1" t="s">
        <v>80</v>
      </c>
      <c r="J387" s="1">
        <f>+Table2[[#This Row],[Ventas]]/Table2[[#This Row],[Cantidad]]</f>
        <v>6325</v>
      </c>
      <c r="K387" s="1" t="str">
        <f>+_xlfn.IFS(Table2[[#This Row],[Ventas]]&gt;200000,"Alta", Table2[[#This Row],[Ventas]]&gt;100000,"Media",TRUE,"Bajo")</f>
        <v>Media</v>
      </c>
    </row>
    <row r="388" spans="1:11" x14ac:dyDescent="0.25">
      <c r="A388" s="1" t="s">
        <v>98</v>
      </c>
      <c r="B388" s="1" t="s">
        <v>60</v>
      </c>
      <c r="C388" s="1" t="s">
        <v>88</v>
      </c>
      <c r="D388" s="1" t="s">
        <v>9</v>
      </c>
      <c r="E388" s="2">
        <v>42216.457638888889</v>
      </c>
      <c r="F388" s="1" t="s">
        <v>7</v>
      </c>
      <c r="G388" s="1">
        <v>233088</v>
      </c>
      <c r="H388" s="1">
        <v>27</v>
      </c>
      <c r="I388" s="1" t="s">
        <v>93</v>
      </c>
      <c r="J388" s="1">
        <f>+Table2[[#This Row],[Ventas]]/Table2[[#This Row],[Cantidad]]</f>
        <v>8632.8888888888887</v>
      </c>
      <c r="K388" s="1" t="str">
        <f>+_xlfn.IFS(Table2[[#This Row],[Ventas]]&gt;200000,"Alta", Table2[[#This Row],[Ventas]]&gt;100000,"Media",TRUE,"Bajo")</f>
        <v>Alta</v>
      </c>
    </row>
    <row r="389" spans="1:11" x14ac:dyDescent="0.25">
      <c r="A389" s="1" t="s">
        <v>98</v>
      </c>
      <c r="B389" s="1" t="s">
        <v>135</v>
      </c>
      <c r="C389" s="1" t="s">
        <v>91</v>
      </c>
      <c r="D389" s="1" t="s">
        <v>9</v>
      </c>
      <c r="E389" s="2">
        <v>42216.457638888889</v>
      </c>
      <c r="F389" s="1" t="s">
        <v>6</v>
      </c>
      <c r="G389" s="1">
        <v>220243</v>
      </c>
      <c r="H389" s="1">
        <v>30</v>
      </c>
      <c r="I389" s="1" t="s">
        <v>79</v>
      </c>
      <c r="J389" s="1">
        <f>+Table2[[#This Row],[Ventas]]/Table2[[#This Row],[Cantidad]]</f>
        <v>7341.4333333333334</v>
      </c>
      <c r="K389" s="1" t="str">
        <f>+_xlfn.IFS(Table2[[#This Row],[Ventas]]&gt;200000,"Alta", Table2[[#This Row],[Ventas]]&gt;100000,"Media",TRUE,"Bajo")</f>
        <v>Alta</v>
      </c>
    </row>
    <row r="390" spans="1:11" x14ac:dyDescent="0.25">
      <c r="A390" s="1" t="s">
        <v>98</v>
      </c>
      <c r="B390" s="1" t="s">
        <v>8</v>
      </c>
      <c r="C390" s="1" t="s">
        <v>91</v>
      </c>
      <c r="D390" s="1" t="s">
        <v>9</v>
      </c>
      <c r="E390" s="2">
        <v>42192.457638888889</v>
      </c>
      <c r="F390" s="1" t="s">
        <v>6</v>
      </c>
      <c r="G390" s="1">
        <v>219307</v>
      </c>
      <c r="H390" s="1">
        <v>36</v>
      </c>
      <c r="I390" s="1" t="s">
        <v>80</v>
      </c>
      <c r="J390" s="1">
        <f>+Table2[[#This Row],[Ventas]]/Table2[[#This Row],[Cantidad]]</f>
        <v>6091.8611111111113</v>
      </c>
      <c r="K390" s="1" t="str">
        <f>+_xlfn.IFS(Table2[[#This Row],[Ventas]]&gt;200000,"Alta", Table2[[#This Row],[Ventas]]&gt;100000,"Media",TRUE,"Bajo")</f>
        <v>Alta</v>
      </c>
    </row>
    <row r="391" spans="1:11" x14ac:dyDescent="0.25">
      <c r="A391" s="1" t="s">
        <v>98</v>
      </c>
      <c r="B391" s="1" t="s">
        <v>52</v>
      </c>
      <c r="C391" s="1" t="s">
        <v>91</v>
      </c>
      <c r="D391" s="1" t="s">
        <v>9</v>
      </c>
      <c r="E391" s="2">
        <v>42216.457638888889</v>
      </c>
      <c r="F391" s="1" t="s">
        <v>6</v>
      </c>
      <c r="G391" s="1">
        <v>214123</v>
      </c>
      <c r="H391" s="1">
        <v>39</v>
      </c>
      <c r="I391" s="1" t="s">
        <v>81</v>
      </c>
      <c r="J391" s="1">
        <f>+Table2[[#This Row],[Ventas]]/Table2[[#This Row],[Cantidad]]</f>
        <v>5490.333333333333</v>
      </c>
      <c r="K391" s="1" t="str">
        <f>+_xlfn.IFS(Table2[[#This Row],[Ventas]]&gt;200000,"Alta", Table2[[#This Row],[Ventas]]&gt;100000,"Media",TRUE,"Bajo")</f>
        <v>Alta</v>
      </c>
    </row>
    <row r="392" spans="1:11" x14ac:dyDescent="0.25">
      <c r="A392" s="1" t="s">
        <v>98</v>
      </c>
      <c r="B392" s="1" t="s">
        <v>140</v>
      </c>
      <c r="C392" s="1" t="s">
        <v>88</v>
      </c>
      <c r="D392" s="1" t="s">
        <v>9</v>
      </c>
      <c r="E392" s="2">
        <v>42186.457638888889</v>
      </c>
      <c r="F392" s="1" t="s">
        <v>6</v>
      </c>
      <c r="G392" s="1">
        <v>85814</v>
      </c>
      <c r="H392" s="1">
        <v>29</v>
      </c>
      <c r="I392" s="1" t="s">
        <v>79</v>
      </c>
      <c r="J392" s="1">
        <f>+Table2[[#This Row],[Ventas]]/Table2[[#This Row],[Cantidad]]</f>
        <v>2959.1034482758619</v>
      </c>
      <c r="K392" s="1" t="str">
        <f>+_xlfn.IFS(Table2[[#This Row],[Ventas]]&gt;200000,"Alta", Table2[[#This Row],[Ventas]]&gt;100000,"Media",TRUE,"Bajo")</f>
        <v>Bajo</v>
      </c>
    </row>
    <row r="393" spans="1:11" x14ac:dyDescent="0.25">
      <c r="A393" s="1" t="s">
        <v>98</v>
      </c>
      <c r="B393" s="1" t="s">
        <v>140</v>
      </c>
      <c r="C393" s="1" t="s">
        <v>88</v>
      </c>
      <c r="D393" s="1" t="s">
        <v>9</v>
      </c>
      <c r="E393" s="2">
        <v>42186.457638888889</v>
      </c>
      <c r="F393" s="1" t="s">
        <v>6</v>
      </c>
      <c r="G393" s="1">
        <v>196431</v>
      </c>
      <c r="H393" s="1">
        <v>30</v>
      </c>
      <c r="I393" s="1" t="s">
        <v>79</v>
      </c>
      <c r="J393" s="1">
        <f>+Table2[[#This Row],[Ventas]]/Table2[[#This Row],[Cantidad]]</f>
        <v>6547.7</v>
      </c>
      <c r="K393" s="1" t="str">
        <f>+_xlfn.IFS(Table2[[#This Row],[Ventas]]&gt;200000,"Alta", Table2[[#This Row],[Ventas]]&gt;100000,"Media",TRUE,"Bajo")</f>
        <v>Media</v>
      </c>
    </row>
    <row r="394" spans="1:11" x14ac:dyDescent="0.25">
      <c r="A394" s="1" t="s">
        <v>98</v>
      </c>
      <c r="B394" s="1" t="s">
        <v>113</v>
      </c>
      <c r="C394" s="1" t="s">
        <v>92</v>
      </c>
      <c r="D394" s="1" t="s">
        <v>5</v>
      </c>
      <c r="E394" s="2">
        <v>42186.457638888889</v>
      </c>
      <c r="F394" s="1" t="s">
        <v>7</v>
      </c>
      <c r="G394" s="1">
        <v>191756</v>
      </c>
      <c r="H394" s="1">
        <v>26</v>
      </c>
      <c r="I394" s="1" t="s">
        <v>79</v>
      </c>
      <c r="J394" s="1">
        <f>+Table2[[#This Row],[Ventas]]/Table2[[#This Row],[Cantidad]]</f>
        <v>7375.2307692307695</v>
      </c>
      <c r="K394" s="1" t="str">
        <f>+_xlfn.IFS(Table2[[#This Row],[Ventas]]&gt;200000,"Alta", Table2[[#This Row],[Ventas]]&gt;100000,"Media",TRUE,"Bajo")</f>
        <v>Media</v>
      </c>
    </row>
    <row r="395" spans="1:11" x14ac:dyDescent="0.25">
      <c r="A395" s="1" t="s">
        <v>98</v>
      </c>
      <c r="B395" s="1" t="s">
        <v>126</v>
      </c>
      <c r="C395" s="1" t="s">
        <v>91</v>
      </c>
      <c r="D395" s="1" t="s">
        <v>9</v>
      </c>
      <c r="E395" s="2">
        <v>42186.457638888889</v>
      </c>
      <c r="F395" s="1" t="s">
        <v>7</v>
      </c>
      <c r="G395" s="1">
        <v>149397</v>
      </c>
      <c r="H395" s="1">
        <v>26</v>
      </c>
      <c r="I395" s="1" t="s">
        <v>79</v>
      </c>
      <c r="J395" s="1">
        <f>+Table2[[#This Row],[Ventas]]/Table2[[#This Row],[Cantidad]]</f>
        <v>5746.0384615384619</v>
      </c>
      <c r="K395" s="1" t="str">
        <f>+_xlfn.IFS(Table2[[#This Row],[Ventas]]&gt;200000,"Alta", Table2[[#This Row],[Ventas]]&gt;100000,"Media",TRUE,"Bajo")</f>
        <v>Media</v>
      </c>
    </row>
    <row r="396" spans="1:11" x14ac:dyDescent="0.25">
      <c r="A396" s="1" t="s">
        <v>98</v>
      </c>
      <c r="B396" s="1" t="s">
        <v>126</v>
      </c>
      <c r="C396" s="1" t="s">
        <v>91</v>
      </c>
      <c r="D396" s="1" t="s">
        <v>9</v>
      </c>
      <c r="E396" s="2">
        <v>42186.457638888889</v>
      </c>
      <c r="F396" s="1" t="s">
        <v>7</v>
      </c>
      <c r="G396" s="1">
        <v>133678</v>
      </c>
      <c r="H396" s="1">
        <v>42</v>
      </c>
      <c r="I396" s="1" t="s">
        <v>81</v>
      </c>
      <c r="J396" s="1">
        <f>+Table2[[#This Row],[Ventas]]/Table2[[#This Row],[Cantidad]]</f>
        <v>3182.8095238095239</v>
      </c>
      <c r="K396" s="1" t="str">
        <f>+_xlfn.IFS(Table2[[#This Row],[Ventas]]&gt;200000,"Alta", Table2[[#This Row],[Ventas]]&gt;100000,"Media",TRUE,"Bajo")</f>
        <v>Media</v>
      </c>
    </row>
    <row r="397" spans="1:11" x14ac:dyDescent="0.25">
      <c r="A397" s="1" t="s">
        <v>98</v>
      </c>
      <c r="B397" s="1" t="s">
        <v>141</v>
      </c>
      <c r="C397" s="1" t="s">
        <v>84</v>
      </c>
      <c r="D397" s="1" t="s">
        <v>5</v>
      </c>
      <c r="E397" s="2">
        <v>42186.457638888889</v>
      </c>
      <c r="F397" s="1" t="s">
        <v>12</v>
      </c>
      <c r="G397" s="1">
        <v>80668</v>
      </c>
      <c r="H397" s="1">
        <v>35</v>
      </c>
      <c r="I397" s="1" t="s">
        <v>79</v>
      </c>
      <c r="J397" s="1">
        <f>+Table2[[#This Row],[Ventas]]/Table2[[#This Row],[Cantidad]]</f>
        <v>2304.8000000000002</v>
      </c>
      <c r="K397" s="1" t="str">
        <f>+_xlfn.IFS(Table2[[#This Row],[Ventas]]&gt;200000,"Alta", Table2[[#This Row],[Ventas]]&gt;100000,"Media",TRUE,"Bajo")</f>
        <v>Bajo</v>
      </c>
    </row>
    <row r="398" spans="1:11" x14ac:dyDescent="0.25">
      <c r="A398" s="1" t="s">
        <v>98</v>
      </c>
      <c r="B398" s="1" t="s">
        <v>141</v>
      </c>
      <c r="C398" s="1" t="s">
        <v>85</v>
      </c>
      <c r="D398" s="1" t="s">
        <v>5</v>
      </c>
      <c r="E398" s="2">
        <v>42186.457638888889</v>
      </c>
      <c r="F398" s="1" t="s">
        <v>12</v>
      </c>
      <c r="G398" s="1">
        <v>81427</v>
      </c>
      <c r="H398" s="1">
        <v>39</v>
      </c>
      <c r="I398" s="1" t="s">
        <v>81</v>
      </c>
      <c r="J398" s="1">
        <f>+Table2[[#This Row],[Ventas]]/Table2[[#This Row],[Cantidad]]</f>
        <v>2087.8717948717949</v>
      </c>
      <c r="K398" s="1" t="str">
        <f>+_xlfn.IFS(Table2[[#This Row],[Ventas]]&gt;200000,"Alta", Table2[[#This Row],[Ventas]]&gt;100000,"Media",TRUE,"Bajo")</f>
        <v>Bajo</v>
      </c>
    </row>
    <row r="399" spans="1:11" x14ac:dyDescent="0.25">
      <c r="A399" s="1" t="s">
        <v>98</v>
      </c>
      <c r="B399" s="1" t="s">
        <v>141</v>
      </c>
      <c r="C399" s="1" t="s">
        <v>85</v>
      </c>
      <c r="D399" s="1" t="s">
        <v>5</v>
      </c>
      <c r="E399" s="2">
        <v>42186.457638888889</v>
      </c>
      <c r="F399" s="1" t="s">
        <v>12</v>
      </c>
      <c r="G399" s="1">
        <v>151115</v>
      </c>
      <c r="H399" s="1">
        <v>35</v>
      </c>
      <c r="I399" s="1" t="s">
        <v>79</v>
      </c>
      <c r="J399" s="1">
        <f>+Table2[[#This Row],[Ventas]]/Table2[[#This Row],[Cantidad]]</f>
        <v>4317.5714285714284</v>
      </c>
      <c r="K399" s="1" t="str">
        <f>+_xlfn.IFS(Table2[[#This Row],[Ventas]]&gt;200000,"Alta", Table2[[#This Row],[Ventas]]&gt;100000,"Media",TRUE,"Bajo")</f>
        <v>Media</v>
      </c>
    </row>
    <row r="400" spans="1:11" x14ac:dyDescent="0.25">
      <c r="A400" s="1" t="s">
        <v>98</v>
      </c>
      <c r="B400" s="1" t="s">
        <v>141</v>
      </c>
      <c r="C400" s="1" t="s">
        <v>85</v>
      </c>
      <c r="D400" s="1" t="s">
        <v>5</v>
      </c>
      <c r="E400" s="2">
        <v>42186.457638888889</v>
      </c>
      <c r="F400" s="1" t="s">
        <v>6</v>
      </c>
      <c r="G400" s="1">
        <v>101943</v>
      </c>
      <c r="H400" s="1">
        <v>33</v>
      </c>
      <c r="I400" s="1" t="s">
        <v>81</v>
      </c>
      <c r="J400" s="1">
        <f>+Table2[[#This Row],[Ventas]]/Table2[[#This Row],[Cantidad]]</f>
        <v>3089.181818181818</v>
      </c>
      <c r="K400" s="1" t="str">
        <f>+_xlfn.IFS(Table2[[#This Row],[Ventas]]&gt;200000,"Alta", Table2[[#This Row],[Ventas]]&gt;100000,"Media",TRUE,"Bajo")</f>
        <v>Media</v>
      </c>
    </row>
    <row r="401" spans="1:11" x14ac:dyDescent="0.25">
      <c r="A401" s="1" t="s">
        <v>98</v>
      </c>
      <c r="B401" s="1" t="s">
        <v>109</v>
      </c>
      <c r="C401" s="1" t="s">
        <v>92</v>
      </c>
      <c r="D401" s="1" t="s">
        <v>5</v>
      </c>
      <c r="E401" s="2">
        <v>42215.457638888889</v>
      </c>
      <c r="F401" s="1" t="s">
        <v>7</v>
      </c>
      <c r="G401" s="1">
        <v>220780</v>
      </c>
      <c r="H401" s="1">
        <v>34</v>
      </c>
      <c r="I401" s="1" t="s">
        <v>82</v>
      </c>
      <c r="J401" s="1">
        <f>+Table2[[#This Row],[Ventas]]/Table2[[#This Row],[Cantidad]]</f>
        <v>6493.5294117647063</v>
      </c>
      <c r="K401" s="1" t="str">
        <f>+_xlfn.IFS(Table2[[#This Row],[Ventas]]&gt;200000,"Alta", Table2[[#This Row],[Ventas]]&gt;100000,"Media",TRUE,"Bajo")</f>
        <v>Alta</v>
      </c>
    </row>
    <row r="402" spans="1:11" x14ac:dyDescent="0.25">
      <c r="A402" s="1" t="s">
        <v>98</v>
      </c>
      <c r="B402" s="1" t="s">
        <v>51</v>
      </c>
      <c r="C402" s="1" t="s">
        <v>91</v>
      </c>
      <c r="D402" s="1" t="s">
        <v>9</v>
      </c>
      <c r="E402" s="2">
        <v>42190.457638888889</v>
      </c>
      <c r="F402" s="1" t="s">
        <v>6</v>
      </c>
      <c r="G402" s="1">
        <v>63871</v>
      </c>
      <c r="H402" s="1">
        <v>18</v>
      </c>
      <c r="I402" s="1" t="s">
        <v>79</v>
      </c>
      <c r="J402" s="1">
        <f>+Table2[[#This Row],[Ventas]]/Table2[[#This Row],[Cantidad]]</f>
        <v>3548.3888888888887</v>
      </c>
      <c r="K402" s="1" t="str">
        <f>+_xlfn.IFS(Table2[[#This Row],[Ventas]]&gt;200000,"Alta", Table2[[#This Row],[Ventas]]&gt;100000,"Media",TRUE,"Bajo")</f>
        <v>Bajo</v>
      </c>
    </row>
    <row r="403" spans="1:11" x14ac:dyDescent="0.25">
      <c r="A403" s="1" t="s">
        <v>98</v>
      </c>
      <c r="B403" s="1" t="s">
        <v>54</v>
      </c>
      <c r="C403" s="1" t="s">
        <v>84</v>
      </c>
      <c r="D403" s="1" t="s">
        <v>5</v>
      </c>
      <c r="E403" s="2">
        <v>42186.457638888889</v>
      </c>
      <c r="F403" s="1" t="s">
        <v>10</v>
      </c>
      <c r="G403" s="1">
        <v>53014</v>
      </c>
      <c r="H403" s="1">
        <v>27</v>
      </c>
      <c r="I403" s="1" t="s">
        <v>81</v>
      </c>
      <c r="J403" s="1">
        <f>+Table2[[#This Row],[Ventas]]/Table2[[#This Row],[Cantidad]]</f>
        <v>1963.4814814814815</v>
      </c>
      <c r="K403" s="1" t="str">
        <f>+_xlfn.IFS(Table2[[#This Row],[Ventas]]&gt;200000,"Alta", Table2[[#This Row],[Ventas]]&gt;100000,"Media",TRUE,"Bajo")</f>
        <v>Bajo</v>
      </c>
    </row>
    <row r="404" spans="1:11" x14ac:dyDescent="0.25">
      <c r="A404" s="1" t="s">
        <v>98</v>
      </c>
      <c r="B404" s="1" t="s">
        <v>140</v>
      </c>
      <c r="C404" s="1" t="s">
        <v>88</v>
      </c>
      <c r="D404" s="1" t="s">
        <v>9</v>
      </c>
      <c r="E404" s="2">
        <v>42186.457638888889</v>
      </c>
      <c r="F404" s="1" t="s">
        <v>6</v>
      </c>
      <c r="G404" s="1">
        <v>181176</v>
      </c>
      <c r="H404" s="1">
        <v>15</v>
      </c>
      <c r="I404" s="1" t="s">
        <v>80</v>
      </c>
      <c r="J404" s="1">
        <f>+Table2[[#This Row],[Ventas]]/Table2[[#This Row],[Cantidad]]</f>
        <v>12078.4</v>
      </c>
      <c r="K404" s="1" t="str">
        <f>+_xlfn.IFS(Table2[[#This Row],[Ventas]]&gt;200000,"Alta", Table2[[#This Row],[Ventas]]&gt;100000,"Media",TRUE,"Bajo")</f>
        <v>Media</v>
      </c>
    </row>
    <row r="405" spans="1:11" x14ac:dyDescent="0.25">
      <c r="A405" s="1" t="s">
        <v>98</v>
      </c>
      <c r="B405" s="1" t="s">
        <v>32</v>
      </c>
      <c r="C405" s="1" t="s">
        <v>84</v>
      </c>
      <c r="D405" s="1" t="s">
        <v>5</v>
      </c>
      <c r="E405" s="2">
        <v>42195.457638888889</v>
      </c>
      <c r="F405" s="1" t="s">
        <v>7</v>
      </c>
      <c r="G405" s="1">
        <v>114232</v>
      </c>
      <c r="H405" s="1">
        <v>35</v>
      </c>
      <c r="I405" s="1" t="s">
        <v>80</v>
      </c>
      <c r="J405" s="1">
        <f>+Table2[[#This Row],[Ventas]]/Table2[[#This Row],[Cantidad]]</f>
        <v>3263.7714285714287</v>
      </c>
      <c r="K405" s="1" t="str">
        <f>+_xlfn.IFS(Table2[[#This Row],[Ventas]]&gt;200000,"Alta", Table2[[#This Row],[Ventas]]&gt;100000,"Media",TRUE,"Bajo")</f>
        <v>Media</v>
      </c>
    </row>
    <row r="406" spans="1:11" x14ac:dyDescent="0.25">
      <c r="A406" s="1" t="s">
        <v>98</v>
      </c>
      <c r="B406" s="1" t="s">
        <v>129</v>
      </c>
      <c r="C406" s="1" t="s">
        <v>91</v>
      </c>
      <c r="D406" s="1" t="s">
        <v>9</v>
      </c>
      <c r="E406" s="2">
        <v>42216.457638888889</v>
      </c>
      <c r="F406" s="1" t="s">
        <v>6</v>
      </c>
      <c r="G406" s="1">
        <v>97938</v>
      </c>
      <c r="H406" s="1">
        <v>35</v>
      </c>
      <c r="I406" s="1" t="s">
        <v>79</v>
      </c>
      <c r="J406" s="1">
        <f>+Table2[[#This Row],[Ventas]]/Table2[[#This Row],[Cantidad]]</f>
        <v>2798.2285714285713</v>
      </c>
      <c r="K406" s="1" t="str">
        <f>+_xlfn.IFS(Table2[[#This Row],[Ventas]]&gt;200000,"Alta", Table2[[#This Row],[Ventas]]&gt;100000,"Media",TRUE,"Bajo")</f>
        <v>Bajo</v>
      </c>
    </row>
    <row r="407" spans="1:11" x14ac:dyDescent="0.25">
      <c r="A407" s="1" t="s">
        <v>98</v>
      </c>
      <c r="B407" s="1" t="s">
        <v>114</v>
      </c>
      <c r="C407" s="1" t="s">
        <v>92</v>
      </c>
      <c r="D407" s="1" t="s">
        <v>5</v>
      </c>
      <c r="E407" s="2">
        <v>42215.457638888889</v>
      </c>
      <c r="F407" s="1" t="s">
        <v>6</v>
      </c>
      <c r="G407" s="1">
        <v>160668</v>
      </c>
      <c r="H407" s="1">
        <v>25</v>
      </c>
      <c r="I407" s="1" t="s">
        <v>80</v>
      </c>
      <c r="J407" s="1">
        <f>+Table2[[#This Row],[Ventas]]/Table2[[#This Row],[Cantidad]]</f>
        <v>6426.72</v>
      </c>
      <c r="K407" s="1" t="str">
        <f>+_xlfn.IFS(Table2[[#This Row],[Ventas]]&gt;200000,"Alta", Table2[[#This Row],[Ventas]]&gt;100000,"Media",TRUE,"Bajo")</f>
        <v>Media</v>
      </c>
    </row>
    <row r="408" spans="1:11" x14ac:dyDescent="0.25">
      <c r="A408" s="1" t="s">
        <v>98</v>
      </c>
      <c r="B408" s="1" t="s">
        <v>147</v>
      </c>
      <c r="C408" s="1" t="s">
        <v>91</v>
      </c>
      <c r="D408" s="1" t="s">
        <v>9</v>
      </c>
      <c r="E408" s="2">
        <v>42186.457638888889</v>
      </c>
      <c r="F408" s="1" t="s">
        <v>6</v>
      </c>
      <c r="G408" s="1">
        <v>159094</v>
      </c>
      <c r="H408" s="1">
        <v>17</v>
      </c>
      <c r="I408" s="1" t="s">
        <v>79</v>
      </c>
      <c r="J408" s="1">
        <f>+Table2[[#This Row],[Ventas]]/Table2[[#This Row],[Cantidad]]</f>
        <v>9358.4705882352937</v>
      </c>
      <c r="K408" s="1" t="str">
        <f>+_xlfn.IFS(Table2[[#This Row],[Ventas]]&gt;200000,"Alta", Table2[[#This Row],[Ventas]]&gt;100000,"Media",TRUE,"Bajo")</f>
        <v>Media</v>
      </c>
    </row>
    <row r="409" spans="1:11" x14ac:dyDescent="0.25">
      <c r="A409" s="1" t="s">
        <v>98</v>
      </c>
      <c r="B409" s="1" t="s">
        <v>113</v>
      </c>
      <c r="C409" s="1" t="s">
        <v>92</v>
      </c>
      <c r="D409" s="1" t="s">
        <v>5</v>
      </c>
      <c r="E409" s="2">
        <v>42186.457638888889</v>
      </c>
      <c r="F409" s="1" t="s">
        <v>7</v>
      </c>
      <c r="G409" s="1">
        <v>145503</v>
      </c>
      <c r="H409" s="1">
        <v>27</v>
      </c>
      <c r="I409" s="1" t="s">
        <v>79</v>
      </c>
      <c r="J409" s="1">
        <f>+Table2[[#This Row],[Ventas]]/Table2[[#This Row],[Cantidad]]</f>
        <v>5389</v>
      </c>
      <c r="K409" s="1" t="str">
        <f>+_xlfn.IFS(Table2[[#This Row],[Ventas]]&gt;200000,"Alta", Table2[[#This Row],[Ventas]]&gt;100000,"Media",TRUE,"Bajo")</f>
        <v>Media</v>
      </c>
    </row>
    <row r="410" spans="1:11" x14ac:dyDescent="0.25">
      <c r="A410" s="1" t="s">
        <v>98</v>
      </c>
      <c r="B410" s="1" t="s">
        <v>141</v>
      </c>
      <c r="C410" s="1" t="s">
        <v>84</v>
      </c>
      <c r="D410" s="1" t="s">
        <v>5</v>
      </c>
      <c r="E410" s="2">
        <v>42186.457638888889</v>
      </c>
      <c r="F410" s="1" t="s">
        <v>12</v>
      </c>
      <c r="G410" s="1">
        <v>145459</v>
      </c>
      <c r="H410" s="1">
        <v>18</v>
      </c>
      <c r="I410" s="1" t="s">
        <v>79</v>
      </c>
      <c r="J410" s="1">
        <f>+Table2[[#This Row],[Ventas]]/Table2[[#This Row],[Cantidad]]</f>
        <v>8081.0555555555557</v>
      </c>
      <c r="K410" s="1" t="str">
        <f>+_xlfn.IFS(Table2[[#This Row],[Ventas]]&gt;200000,"Alta", Table2[[#This Row],[Ventas]]&gt;100000,"Media",TRUE,"Bajo")</f>
        <v>Media</v>
      </c>
    </row>
    <row r="411" spans="1:11" x14ac:dyDescent="0.25">
      <c r="A411" s="1" t="s">
        <v>98</v>
      </c>
      <c r="B411" s="1" t="s">
        <v>109</v>
      </c>
      <c r="C411" s="1" t="s">
        <v>91</v>
      </c>
      <c r="D411" s="1" t="s">
        <v>9</v>
      </c>
      <c r="E411" s="2">
        <v>42208.457638888889</v>
      </c>
      <c r="F411" s="1" t="s">
        <v>7</v>
      </c>
      <c r="G411" s="1">
        <v>202862</v>
      </c>
      <c r="H411" s="1">
        <v>35</v>
      </c>
      <c r="I411" s="1" t="s">
        <v>80</v>
      </c>
      <c r="J411" s="1">
        <f>+Table2[[#This Row],[Ventas]]/Table2[[#This Row],[Cantidad]]</f>
        <v>5796.0571428571429</v>
      </c>
      <c r="K411" s="1" t="str">
        <f>+_xlfn.IFS(Table2[[#This Row],[Ventas]]&gt;200000,"Alta", Table2[[#This Row],[Ventas]]&gt;100000,"Media",TRUE,"Bajo")</f>
        <v>Alta</v>
      </c>
    </row>
    <row r="412" spans="1:11" x14ac:dyDescent="0.25">
      <c r="A412" s="1" t="s">
        <v>98</v>
      </c>
      <c r="B412" s="1" t="s">
        <v>127</v>
      </c>
      <c r="C412" s="1" t="s">
        <v>92</v>
      </c>
      <c r="D412" s="1" t="s">
        <v>5</v>
      </c>
      <c r="E412" s="2">
        <v>42195.457638888889</v>
      </c>
      <c r="F412" s="1" t="s">
        <v>6</v>
      </c>
      <c r="G412" s="1">
        <v>198428</v>
      </c>
      <c r="H412" s="1">
        <v>29</v>
      </c>
      <c r="I412" s="1" t="s">
        <v>93</v>
      </c>
      <c r="J412" s="1">
        <f>+Table2[[#This Row],[Ventas]]/Table2[[#This Row],[Cantidad]]</f>
        <v>6842.3448275862065</v>
      </c>
      <c r="K412" s="1" t="str">
        <f>+_xlfn.IFS(Table2[[#This Row],[Ventas]]&gt;200000,"Alta", Table2[[#This Row],[Ventas]]&gt;100000,"Media",TRUE,"Bajo")</f>
        <v>Media</v>
      </c>
    </row>
    <row r="413" spans="1:11" x14ac:dyDescent="0.25">
      <c r="A413" s="1" t="s">
        <v>98</v>
      </c>
      <c r="B413" s="1" t="s">
        <v>140</v>
      </c>
      <c r="C413" s="1" t="s">
        <v>88</v>
      </c>
      <c r="D413" s="1" t="s">
        <v>9</v>
      </c>
      <c r="E413" s="2">
        <v>42186.457638888889</v>
      </c>
      <c r="F413" s="1" t="s">
        <v>6</v>
      </c>
      <c r="G413" s="1">
        <v>66793</v>
      </c>
      <c r="H413" s="1">
        <v>32</v>
      </c>
      <c r="I413" s="1" t="s">
        <v>81</v>
      </c>
      <c r="J413" s="1">
        <f>+Table2[[#This Row],[Ventas]]/Table2[[#This Row],[Cantidad]]</f>
        <v>2087.28125</v>
      </c>
      <c r="K413" s="1" t="str">
        <f>+_xlfn.IFS(Table2[[#This Row],[Ventas]]&gt;200000,"Alta", Table2[[#This Row],[Ventas]]&gt;100000,"Media",TRUE,"Bajo")</f>
        <v>Bajo</v>
      </c>
    </row>
    <row r="414" spans="1:11" x14ac:dyDescent="0.25">
      <c r="A414" s="1" t="s">
        <v>98</v>
      </c>
      <c r="B414" s="1" t="s">
        <v>58</v>
      </c>
      <c r="C414" s="1" t="s">
        <v>92</v>
      </c>
      <c r="D414" s="1" t="s">
        <v>5</v>
      </c>
      <c r="E414" s="2">
        <v>42186.457638888889</v>
      </c>
      <c r="F414" s="1" t="s">
        <v>7</v>
      </c>
      <c r="G414" s="1">
        <v>239300</v>
      </c>
      <c r="H414" s="1">
        <v>16</v>
      </c>
      <c r="I414" s="1" t="s">
        <v>79</v>
      </c>
      <c r="J414" s="1">
        <f>+Table2[[#This Row],[Ventas]]/Table2[[#This Row],[Cantidad]]</f>
        <v>14956.25</v>
      </c>
      <c r="K414" s="1" t="str">
        <f>+_xlfn.IFS(Table2[[#This Row],[Ventas]]&gt;200000,"Alta", Table2[[#This Row],[Ventas]]&gt;100000,"Media",TRUE,"Bajo")</f>
        <v>Alta</v>
      </c>
    </row>
    <row r="415" spans="1:11" x14ac:dyDescent="0.25">
      <c r="A415" s="1" t="s">
        <v>98</v>
      </c>
      <c r="B415" s="1" t="s">
        <v>126</v>
      </c>
      <c r="C415" s="1" t="s">
        <v>91</v>
      </c>
      <c r="D415" s="1" t="s">
        <v>9</v>
      </c>
      <c r="E415" s="2">
        <v>42186.457638888889</v>
      </c>
      <c r="F415" s="1" t="s">
        <v>7</v>
      </c>
      <c r="G415" s="1">
        <v>155280</v>
      </c>
      <c r="H415" s="1">
        <v>30</v>
      </c>
      <c r="I415" s="1" t="s">
        <v>79</v>
      </c>
      <c r="J415" s="1">
        <f>+Table2[[#This Row],[Ventas]]/Table2[[#This Row],[Cantidad]]</f>
        <v>5176</v>
      </c>
      <c r="K415" s="1" t="str">
        <f>+_xlfn.IFS(Table2[[#This Row],[Ventas]]&gt;200000,"Alta", Table2[[#This Row],[Ventas]]&gt;100000,"Media",TRUE,"Bajo")</f>
        <v>Media</v>
      </c>
    </row>
    <row r="416" spans="1:11" x14ac:dyDescent="0.25">
      <c r="A416" s="1" t="s">
        <v>98</v>
      </c>
      <c r="B416" s="1" t="s">
        <v>141</v>
      </c>
      <c r="C416" s="1" t="s">
        <v>84</v>
      </c>
      <c r="D416" s="1" t="s">
        <v>5</v>
      </c>
      <c r="E416" s="2">
        <v>42186.457638888889</v>
      </c>
      <c r="F416" s="1" t="s">
        <v>12</v>
      </c>
      <c r="G416" s="1">
        <v>117727</v>
      </c>
      <c r="H416" s="1">
        <v>28</v>
      </c>
      <c r="I416" s="1" t="s">
        <v>79</v>
      </c>
      <c r="J416" s="1">
        <f>+Table2[[#This Row],[Ventas]]/Table2[[#This Row],[Cantidad]]</f>
        <v>4204.5357142857147</v>
      </c>
      <c r="K416" s="1" t="str">
        <f>+_xlfn.IFS(Table2[[#This Row],[Ventas]]&gt;200000,"Alta", Table2[[#This Row],[Ventas]]&gt;100000,"Media",TRUE,"Bajo")</f>
        <v>Media</v>
      </c>
    </row>
    <row r="417" spans="1:11" x14ac:dyDescent="0.25">
      <c r="A417" s="1" t="s">
        <v>98</v>
      </c>
      <c r="B417" s="1" t="s">
        <v>144</v>
      </c>
      <c r="C417" s="1" t="s">
        <v>85</v>
      </c>
      <c r="D417" s="1" t="s">
        <v>5</v>
      </c>
      <c r="E417" s="2">
        <v>42186.457638888889</v>
      </c>
      <c r="F417" s="1" t="s">
        <v>6</v>
      </c>
      <c r="G417" s="1">
        <v>214851</v>
      </c>
      <c r="H417" s="1">
        <v>35</v>
      </c>
      <c r="I417" s="1" t="s">
        <v>81</v>
      </c>
      <c r="J417" s="1">
        <f>+Table2[[#This Row],[Ventas]]/Table2[[#This Row],[Cantidad]]</f>
        <v>6138.6</v>
      </c>
      <c r="K417" s="1" t="str">
        <f>+_xlfn.IFS(Table2[[#This Row],[Ventas]]&gt;200000,"Alta", Table2[[#This Row],[Ventas]]&gt;100000,"Media",TRUE,"Bajo")</f>
        <v>Alta</v>
      </c>
    </row>
    <row r="418" spans="1:11" x14ac:dyDescent="0.25">
      <c r="A418" s="1" t="s">
        <v>98</v>
      </c>
      <c r="B418" s="1" t="s">
        <v>52</v>
      </c>
      <c r="C418" s="1" t="s">
        <v>91</v>
      </c>
      <c r="D418" s="1" t="s">
        <v>9</v>
      </c>
      <c r="E418" s="2">
        <v>42216.457638888889</v>
      </c>
      <c r="F418" s="1" t="s">
        <v>6</v>
      </c>
      <c r="G418" s="1">
        <v>157862</v>
      </c>
      <c r="H418" s="1">
        <v>22</v>
      </c>
      <c r="I418" s="1" t="s">
        <v>81</v>
      </c>
      <c r="J418" s="1">
        <f>+Table2[[#This Row],[Ventas]]/Table2[[#This Row],[Cantidad]]</f>
        <v>7175.545454545455</v>
      </c>
      <c r="K418" s="1" t="str">
        <f>+_xlfn.IFS(Table2[[#This Row],[Ventas]]&gt;200000,"Alta", Table2[[#This Row],[Ventas]]&gt;100000,"Media",TRUE,"Bajo")</f>
        <v>Media</v>
      </c>
    </row>
    <row r="419" spans="1:11" x14ac:dyDescent="0.25">
      <c r="A419" s="1" t="s">
        <v>98</v>
      </c>
      <c r="B419" s="1" t="s">
        <v>113</v>
      </c>
      <c r="C419" s="1" t="s">
        <v>92</v>
      </c>
      <c r="D419" s="1" t="s">
        <v>5</v>
      </c>
      <c r="E419" s="2">
        <v>42186.457638888889</v>
      </c>
      <c r="F419" s="1" t="s">
        <v>7</v>
      </c>
      <c r="G419" s="1">
        <v>89788</v>
      </c>
      <c r="H419" s="1">
        <v>34</v>
      </c>
      <c r="I419" s="1" t="s">
        <v>79</v>
      </c>
      <c r="J419" s="1">
        <f>+Table2[[#This Row],[Ventas]]/Table2[[#This Row],[Cantidad]]</f>
        <v>2640.8235294117649</v>
      </c>
      <c r="K419" s="1" t="str">
        <f>+_xlfn.IFS(Table2[[#This Row],[Ventas]]&gt;200000,"Alta", Table2[[#This Row],[Ventas]]&gt;100000,"Media",TRUE,"Bajo")</f>
        <v>Bajo</v>
      </c>
    </row>
    <row r="420" spans="1:11" x14ac:dyDescent="0.25">
      <c r="A420" s="1" t="s">
        <v>98</v>
      </c>
      <c r="B420" s="1" t="s">
        <v>109</v>
      </c>
      <c r="C420" s="1" t="s">
        <v>91</v>
      </c>
      <c r="D420" s="1" t="s">
        <v>9</v>
      </c>
      <c r="E420" s="2">
        <v>42209.457638888889</v>
      </c>
      <c r="F420" s="1" t="s">
        <v>7</v>
      </c>
      <c r="G420" s="1">
        <v>210899</v>
      </c>
      <c r="H420" s="1">
        <v>17</v>
      </c>
      <c r="I420" s="1" t="s">
        <v>80</v>
      </c>
      <c r="J420" s="1">
        <f>+Table2[[#This Row],[Ventas]]/Table2[[#This Row],[Cantidad]]</f>
        <v>12405.823529411764</v>
      </c>
      <c r="K420" s="1" t="str">
        <f>+_xlfn.IFS(Table2[[#This Row],[Ventas]]&gt;200000,"Alta", Table2[[#This Row],[Ventas]]&gt;100000,"Media",TRUE,"Bajo")</f>
        <v>Alta</v>
      </c>
    </row>
    <row r="421" spans="1:11" x14ac:dyDescent="0.25">
      <c r="A421" s="1" t="s">
        <v>98</v>
      </c>
      <c r="B421" s="1" t="s">
        <v>56</v>
      </c>
      <c r="C421" s="1" t="s">
        <v>88</v>
      </c>
      <c r="D421" s="1" t="s">
        <v>9</v>
      </c>
      <c r="E421" s="2">
        <v>42215.457638888889</v>
      </c>
      <c r="F421" s="1" t="s">
        <v>6</v>
      </c>
      <c r="G421" s="1">
        <v>231912</v>
      </c>
      <c r="H421" s="1">
        <v>18</v>
      </c>
      <c r="I421" s="1" t="s">
        <v>81</v>
      </c>
      <c r="J421" s="1">
        <f>+Table2[[#This Row],[Ventas]]/Table2[[#This Row],[Cantidad]]</f>
        <v>12884</v>
      </c>
      <c r="K421" s="1" t="str">
        <f>+_xlfn.IFS(Table2[[#This Row],[Ventas]]&gt;200000,"Alta", Table2[[#This Row],[Ventas]]&gt;100000,"Media",TRUE,"Bajo")</f>
        <v>Alta</v>
      </c>
    </row>
    <row r="422" spans="1:11" x14ac:dyDescent="0.25">
      <c r="A422" s="1" t="s">
        <v>98</v>
      </c>
      <c r="B422" s="1" t="s">
        <v>114</v>
      </c>
      <c r="C422" s="1" t="s">
        <v>92</v>
      </c>
      <c r="D422" s="1" t="s">
        <v>5</v>
      </c>
      <c r="E422" s="2">
        <v>42216.457638888889</v>
      </c>
      <c r="F422" s="1" t="s">
        <v>6</v>
      </c>
      <c r="G422" s="1">
        <v>226176</v>
      </c>
      <c r="H422" s="1">
        <v>41</v>
      </c>
      <c r="I422" s="1" t="s">
        <v>93</v>
      </c>
      <c r="J422" s="1">
        <f>+Table2[[#This Row],[Ventas]]/Table2[[#This Row],[Cantidad]]</f>
        <v>5516.4878048780483</v>
      </c>
      <c r="K422" s="1" t="str">
        <f>+_xlfn.IFS(Table2[[#This Row],[Ventas]]&gt;200000,"Alta", Table2[[#This Row],[Ventas]]&gt;100000,"Media",TRUE,"Bajo")</f>
        <v>Alta</v>
      </c>
    </row>
    <row r="423" spans="1:11" x14ac:dyDescent="0.25">
      <c r="A423" s="1" t="s">
        <v>98</v>
      </c>
      <c r="B423" s="1" t="s">
        <v>20</v>
      </c>
      <c r="C423" s="1" t="s">
        <v>87</v>
      </c>
      <c r="D423" s="1" t="s">
        <v>9</v>
      </c>
      <c r="E423" s="2">
        <v>42194.457638888889</v>
      </c>
      <c r="F423" s="1" t="s">
        <v>12</v>
      </c>
      <c r="G423" s="1">
        <v>145869</v>
      </c>
      <c r="H423" s="1">
        <v>27</v>
      </c>
      <c r="I423" s="1" t="s">
        <v>79</v>
      </c>
      <c r="J423" s="1">
        <f>+Table2[[#This Row],[Ventas]]/Table2[[#This Row],[Cantidad]]</f>
        <v>5402.5555555555557</v>
      </c>
      <c r="K423" s="1" t="str">
        <f>+_xlfn.IFS(Table2[[#This Row],[Ventas]]&gt;200000,"Alta", Table2[[#This Row],[Ventas]]&gt;100000,"Media",TRUE,"Bajo")</f>
        <v>Media</v>
      </c>
    </row>
    <row r="424" spans="1:11" x14ac:dyDescent="0.25">
      <c r="A424" s="1" t="s">
        <v>98</v>
      </c>
      <c r="B424" s="1" t="s">
        <v>51</v>
      </c>
      <c r="C424" s="1" t="s">
        <v>91</v>
      </c>
      <c r="D424" s="1" t="s">
        <v>9</v>
      </c>
      <c r="E424" s="2">
        <v>42190.457638888889</v>
      </c>
      <c r="F424" s="1" t="s">
        <v>6</v>
      </c>
      <c r="G424" s="1">
        <v>153948</v>
      </c>
      <c r="H424" s="1">
        <v>15</v>
      </c>
      <c r="I424" s="1" t="s">
        <v>80</v>
      </c>
      <c r="J424" s="1">
        <f>+Table2[[#This Row],[Ventas]]/Table2[[#This Row],[Cantidad]]</f>
        <v>10263.200000000001</v>
      </c>
      <c r="K424" s="1" t="str">
        <f>+_xlfn.IFS(Table2[[#This Row],[Ventas]]&gt;200000,"Alta", Table2[[#This Row],[Ventas]]&gt;100000,"Media",TRUE,"Bajo")</f>
        <v>Media</v>
      </c>
    </row>
    <row r="425" spans="1:11" x14ac:dyDescent="0.25">
      <c r="A425" s="1" t="s">
        <v>98</v>
      </c>
      <c r="B425" s="1" t="s">
        <v>140</v>
      </c>
      <c r="C425" s="1" t="s">
        <v>88</v>
      </c>
      <c r="D425" s="1" t="s">
        <v>9</v>
      </c>
      <c r="E425" s="2">
        <v>42186.457638888889</v>
      </c>
      <c r="F425" s="1" t="s">
        <v>6</v>
      </c>
      <c r="G425" s="1">
        <v>192645</v>
      </c>
      <c r="H425" s="1">
        <v>29</v>
      </c>
      <c r="I425" s="1" t="s">
        <v>80</v>
      </c>
      <c r="J425" s="1">
        <f>+Table2[[#This Row],[Ventas]]/Table2[[#This Row],[Cantidad]]</f>
        <v>6642.9310344827591</v>
      </c>
      <c r="K425" s="1" t="str">
        <f>+_xlfn.IFS(Table2[[#This Row],[Ventas]]&gt;200000,"Alta", Table2[[#This Row],[Ventas]]&gt;100000,"Media",TRUE,"Bajo")</f>
        <v>Media</v>
      </c>
    </row>
    <row r="426" spans="1:11" x14ac:dyDescent="0.25">
      <c r="A426" s="1" t="s">
        <v>98</v>
      </c>
      <c r="B426" s="1" t="s">
        <v>140</v>
      </c>
      <c r="C426" s="1" t="s">
        <v>88</v>
      </c>
      <c r="D426" s="1" t="s">
        <v>9</v>
      </c>
      <c r="E426" s="2">
        <v>42186.457638888889</v>
      </c>
      <c r="F426" s="1" t="s">
        <v>6</v>
      </c>
      <c r="G426" s="1">
        <v>217306</v>
      </c>
      <c r="H426" s="1">
        <v>19</v>
      </c>
      <c r="I426" s="1" t="s">
        <v>80</v>
      </c>
      <c r="J426" s="1">
        <f>+Table2[[#This Row],[Ventas]]/Table2[[#This Row],[Cantidad]]</f>
        <v>11437.157894736842</v>
      </c>
      <c r="K426" s="1" t="str">
        <f>+_xlfn.IFS(Table2[[#This Row],[Ventas]]&gt;200000,"Alta", Table2[[#This Row],[Ventas]]&gt;100000,"Media",TRUE,"Bajo")</f>
        <v>Alta</v>
      </c>
    </row>
    <row r="427" spans="1:11" x14ac:dyDescent="0.25">
      <c r="A427" s="1" t="s">
        <v>98</v>
      </c>
      <c r="B427" s="1" t="s">
        <v>144</v>
      </c>
      <c r="C427" s="1" t="s">
        <v>85</v>
      </c>
      <c r="D427" s="1" t="s">
        <v>5</v>
      </c>
      <c r="E427" s="2">
        <v>42186.457638888889</v>
      </c>
      <c r="F427" s="1" t="s">
        <v>12</v>
      </c>
      <c r="G427" s="1">
        <v>117698</v>
      </c>
      <c r="H427" s="1">
        <v>18</v>
      </c>
      <c r="I427" s="1" t="s">
        <v>79</v>
      </c>
      <c r="J427" s="1">
        <f>+Table2[[#This Row],[Ventas]]/Table2[[#This Row],[Cantidad]]</f>
        <v>6538.7777777777774</v>
      </c>
      <c r="K427" s="1" t="str">
        <f>+_xlfn.IFS(Table2[[#This Row],[Ventas]]&gt;200000,"Alta", Table2[[#This Row],[Ventas]]&gt;100000,"Media",TRUE,"Bajo")</f>
        <v>Media</v>
      </c>
    </row>
    <row r="428" spans="1:11" x14ac:dyDescent="0.25">
      <c r="A428" s="1" t="s">
        <v>98</v>
      </c>
      <c r="B428" s="1" t="s">
        <v>123</v>
      </c>
      <c r="C428" s="1" t="s">
        <v>84</v>
      </c>
      <c r="D428" s="1" t="s">
        <v>5</v>
      </c>
      <c r="E428" s="2">
        <v>42186.457638888889</v>
      </c>
      <c r="F428" s="1" t="s">
        <v>6</v>
      </c>
      <c r="G428" s="1">
        <v>169781</v>
      </c>
      <c r="H428" s="1">
        <v>32</v>
      </c>
      <c r="I428" s="1" t="s">
        <v>81</v>
      </c>
      <c r="J428" s="1">
        <f>+Table2[[#This Row],[Ventas]]/Table2[[#This Row],[Cantidad]]</f>
        <v>5305.65625</v>
      </c>
      <c r="K428" s="1" t="str">
        <f>+_xlfn.IFS(Table2[[#This Row],[Ventas]]&gt;200000,"Alta", Table2[[#This Row],[Ventas]]&gt;100000,"Media",TRUE,"Bajo")</f>
        <v>Media</v>
      </c>
    </row>
    <row r="429" spans="1:11" x14ac:dyDescent="0.25">
      <c r="A429" s="1" t="s">
        <v>98</v>
      </c>
      <c r="B429" s="1" t="s">
        <v>123</v>
      </c>
      <c r="C429" s="1" t="s">
        <v>84</v>
      </c>
      <c r="D429" s="1" t="s">
        <v>5</v>
      </c>
      <c r="E429" s="2">
        <v>42186.457638888889</v>
      </c>
      <c r="F429" s="1" t="s">
        <v>6</v>
      </c>
      <c r="G429" s="1">
        <v>183462</v>
      </c>
      <c r="H429" s="1">
        <v>24</v>
      </c>
      <c r="I429" s="1" t="s">
        <v>81</v>
      </c>
      <c r="J429" s="1">
        <f>+Table2[[#This Row],[Ventas]]/Table2[[#This Row],[Cantidad]]</f>
        <v>7644.25</v>
      </c>
      <c r="K429" s="1" t="str">
        <f>+_xlfn.IFS(Table2[[#This Row],[Ventas]]&gt;200000,"Alta", Table2[[#This Row],[Ventas]]&gt;100000,"Media",TRUE,"Bajo")</f>
        <v>Media</v>
      </c>
    </row>
    <row r="430" spans="1:11" x14ac:dyDescent="0.25">
      <c r="A430" s="1" t="s">
        <v>99</v>
      </c>
      <c r="B430" s="1" t="s">
        <v>110</v>
      </c>
      <c r="C430" s="1" t="s">
        <v>92</v>
      </c>
      <c r="D430" s="1" t="s">
        <v>5</v>
      </c>
      <c r="E430" s="2">
        <v>42209.457638888889</v>
      </c>
      <c r="F430" s="1" t="s">
        <v>10</v>
      </c>
      <c r="G430" s="1">
        <v>61233</v>
      </c>
      <c r="H430" s="1">
        <v>29</v>
      </c>
      <c r="I430" s="1" t="s">
        <v>81</v>
      </c>
      <c r="J430" s="1">
        <f>+Table2[[#This Row],[Ventas]]/Table2[[#This Row],[Cantidad]]</f>
        <v>2111.4827586206898</v>
      </c>
      <c r="K430" s="1" t="str">
        <f>+_xlfn.IFS(Table2[[#This Row],[Ventas]]&gt;200000,"Alta", Table2[[#This Row],[Ventas]]&gt;100000,"Media",TRUE,"Bajo")</f>
        <v>Bajo</v>
      </c>
    </row>
    <row r="431" spans="1:11" x14ac:dyDescent="0.25">
      <c r="A431" s="1" t="s">
        <v>99</v>
      </c>
      <c r="B431" s="1" t="s">
        <v>140</v>
      </c>
      <c r="C431" s="1" t="s">
        <v>88</v>
      </c>
      <c r="D431" s="1" t="s">
        <v>9</v>
      </c>
      <c r="E431" s="2">
        <v>42186.457638888889</v>
      </c>
      <c r="F431" s="1" t="s">
        <v>6</v>
      </c>
      <c r="G431" s="1">
        <v>237984</v>
      </c>
      <c r="H431" s="1">
        <v>41</v>
      </c>
      <c r="I431" s="1" t="s">
        <v>81</v>
      </c>
      <c r="J431" s="1">
        <f>+Table2[[#This Row],[Ventas]]/Table2[[#This Row],[Cantidad]]</f>
        <v>5804.4878048780483</v>
      </c>
      <c r="K431" s="1" t="str">
        <f>+_xlfn.IFS(Table2[[#This Row],[Ventas]]&gt;200000,"Alta", Table2[[#This Row],[Ventas]]&gt;100000,"Media",TRUE,"Bajo")</f>
        <v>Alta</v>
      </c>
    </row>
    <row r="432" spans="1:11" x14ac:dyDescent="0.25">
      <c r="A432" s="1" t="s">
        <v>99</v>
      </c>
      <c r="B432" s="1" t="s">
        <v>58</v>
      </c>
      <c r="C432" s="1" t="s">
        <v>92</v>
      </c>
      <c r="D432" s="1" t="s">
        <v>5</v>
      </c>
      <c r="E432" s="2">
        <v>42186.457638888889</v>
      </c>
      <c r="F432" s="1" t="s">
        <v>7</v>
      </c>
      <c r="G432" s="1">
        <v>192611</v>
      </c>
      <c r="H432" s="1">
        <v>33</v>
      </c>
      <c r="I432" s="1" t="s">
        <v>80</v>
      </c>
      <c r="J432" s="1">
        <f>+Table2[[#This Row],[Ventas]]/Table2[[#This Row],[Cantidad]]</f>
        <v>5836.69696969697</v>
      </c>
      <c r="K432" s="1" t="str">
        <f>+_xlfn.IFS(Table2[[#This Row],[Ventas]]&gt;200000,"Alta", Table2[[#This Row],[Ventas]]&gt;100000,"Media",TRUE,"Bajo")</f>
        <v>Media</v>
      </c>
    </row>
    <row r="433" spans="1:11" x14ac:dyDescent="0.25">
      <c r="A433" s="1" t="s">
        <v>99</v>
      </c>
      <c r="B433" s="1" t="s">
        <v>126</v>
      </c>
      <c r="C433" s="1" t="s">
        <v>91</v>
      </c>
      <c r="D433" s="1" t="s">
        <v>9</v>
      </c>
      <c r="E433" s="2">
        <v>42186.457638888889</v>
      </c>
      <c r="F433" s="1" t="s">
        <v>7</v>
      </c>
      <c r="G433" s="1">
        <v>101061</v>
      </c>
      <c r="H433" s="1">
        <v>34</v>
      </c>
      <c r="I433" s="1" t="s">
        <v>82</v>
      </c>
      <c r="J433" s="1">
        <f>+Table2[[#This Row],[Ventas]]/Table2[[#This Row],[Cantidad]]</f>
        <v>2972.3823529411766</v>
      </c>
      <c r="K433" s="1" t="str">
        <f>+_xlfn.IFS(Table2[[#This Row],[Ventas]]&gt;200000,"Alta", Table2[[#This Row],[Ventas]]&gt;100000,"Media",TRUE,"Bajo")</f>
        <v>Media</v>
      </c>
    </row>
    <row r="434" spans="1:11" x14ac:dyDescent="0.25">
      <c r="A434" s="1" t="s">
        <v>99</v>
      </c>
      <c r="B434" s="1" t="s">
        <v>126</v>
      </c>
      <c r="C434" s="1" t="s">
        <v>91</v>
      </c>
      <c r="D434" s="1" t="s">
        <v>9</v>
      </c>
      <c r="E434" s="2">
        <v>42186.457638888889</v>
      </c>
      <c r="F434" s="1" t="s">
        <v>7</v>
      </c>
      <c r="G434" s="1">
        <v>92899</v>
      </c>
      <c r="H434" s="1">
        <v>20</v>
      </c>
      <c r="I434" s="1" t="s">
        <v>79</v>
      </c>
      <c r="J434" s="1">
        <f>+Table2[[#This Row],[Ventas]]/Table2[[#This Row],[Cantidad]]</f>
        <v>4644.95</v>
      </c>
      <c r="K434" s="1" t="str">
        <f>+_xlfn.IFS(Table2[[#This Row],[Ventas]]&gt;200000,"Alta", Table2[[#This Row],[Ventas]]&gt;100000,"Media",TRUE,"Bajo")</f>
        <v>Bajo</v>
      </c>
    </row>
    <row r="435" spans="1:11" x14ac:dyDescent="0.25">
      <c r="A435" s="1" t="s">
        <v>99</v>
      </c>
      <c r="B435" s="1" t="s">
        <v>126</v>
      </c>
      <c r="C435" s="1" t="s">
        <v>91</v>
      </c>
      <c r="D435" s="1" t="s">
        <v>9</v>
      </c>
      <c r="E435" s="2">
        <v>42186.457638888889</v>
      </c>
      <c r="F435" s="1" t="s">
        <v>7</v>
      </c>
      <c r="G435" s="1">
        <v>219790</v>
      </c>
      <c r="H435" s="1">
        <v>25</v>
      </c>
      <c r="I435" s="1" t="s">
        <v>80</v>
      </c>
      <c r="J435" s="1">
        <f>+Table2[[#This Row],[Ventas]]/Table2[[#This Row],[Cantidad]]</f>
        <v>8791.6</v>
      </c>
      <c r="K435" s="1" t="str">
        <f>+_xlfn.IFS(Table2[[#This Row],[Ventas]]&gt;200000,"Alta", Table2[[#This Row],[Ventas]]&gt;100000,"Media",TRUE,"Bajo")</f>
        <v>Alta</v>
      </c>
    </row>
    <row r="436" spans="1:11" x14ac:dyDescent="0.25">
      <c r="A436" s="1" t="s">
        <v>99</v>
      </c>
      <c r="B436" s="1" t="s">
        <v>126</v>
      </c>
      <c r="C436" s="1" t="s">
        <v>91</v>
      </c>
      <c r="D436" s="1" t="s">
        <v>9</v>
      </c>
      <c r="E436" s="2">
        <v>42186.457638888889</v>
      </c>
      <c r="F436" s="1" t="s">
        <v>7</v>
      </c>
      <c r="G436" s="1">
        <v>139039</v>
      </c>
      <c r="H436" s="1">
        <v>34</v>
      </c>
      <c r="I436" s="1" t="s">
        <v>81</v>
      </c>
      <c r="J436" s="1">
        <f>+Table2[[#This Row],[Ventas]]/Table2[[#This Row],[Cantidad]]</f>
        <v>4089.3823529411766</v>
      </c>
      <c r="K436" s="1" t="str">
        <f>+_xlfn.IFS(Table2[[#This Row],[Ventas]]&gt;200000,"Alta", Table2[[#This Row],[Ventas]]&gt;100000,"Media",TRUE,"Bajo")</f>
        <v>Media</v>
      </c>
    </row>
    <row r="437" spans="1:11" x14ac:dyDescent="0.25">
      <c r="A437" s="1" t="s">
        <v>99</v>
      </c>
      <c r="B437" s="1" t="s">
        <v>144</v>
      </c>
      <c r="C437" s="1" t="s">
        <v>84</v>
      </c>
      <c r="D437" s="1" t="s">
        <v>5</v>
      </c>
      <c r="E437" s="2">
        <v>42186.457638888889</v>
      </c>
      <c r="F437" s="1" t="s">
        <v>12</v>
      </c>
      <c r="G437" s="1">
        <v>143488</v>
      </c>
      <c r="H437" s="1">
        <v>28</v>
      </c>
      <c r="I437" s="1" t="s">
        <v>79</v>
      </c>
      <c r="J437" s="1">
        <f>+Table2[[#This Row],[Ventas]]/Table2[[#This Row],[Cantidad]]</f>
        <v>5124.5714285714284</v>
      </c>
      <c r="K437" s="1" t="str">
        <f>+_xlfn.IFS(Table2[[#This Row],[Ventas]]&gt;200000,"Alta", Table2[[#This Row],[Ventas]]&gt;100000,"Media",TRUE,"Bajo")</f>
        <v>Media</v>
      </c>
    </row>
    <row r="438" spans="1:11" x14ac:dyDescent="0.25">
      <c r="A438" s="1" t="s">
        <v>99</v>
      </c>
      <c r="B438" s="1" t="s">
        <v>144</v>
      </c>
      <c r="C438" s="1" t="s">
        <v>85</v>
      </c>
      <c r="D438" s="1" t="s">
        <v>5</v>
      </c>
      <c r="E438" s="2">
        <v>42186.457638888889</v>
      </c>
      <c r="F438" s="1" t="s">
        <v>12</v>
      </c>
      <c r="G438" s="1">
        <v>246692</v>
      </c>
      <c r="H438" s="1">
        <v>39</v>
      </c>
      <c r="I438" s="1" t="s">
        <v>81</v>
      </c>
      <c r="J438" s="1">
        <f>+Table2[[#This Row],[Ventas]]/Table2[[#This Row],[Cantidad]]</f>
        <v>6325.4358974358975</v>
      </c>
      <c r="K438" s="1" t="str">
        <f>+_xlfn.IFS(Table2[[#This Row],[Ventas]]&gt;200000,"Alta", Table2[[#This Row],[Ventas]]&gt;100000,"Media",TRUE,"Bajo")</f>
        <v>Alta</v>
      </c>
    </row>
    <row r="439" spans="1:11" x14ac:dyDescent="0.25">
      <c r="A439" s="1" t="s">
        <v>99</v>
      </c>
      <c r="B439" s="1" t="s">
        <v>127</v>
      </c>
      <c r="C439" s="1" t="s">
        <v>84</v>
      </c>
      <c r="D439" s="1" t="s">
        <v>5</v>
      </c>
      <c r="E439" s="2">
        <v>42202.457638888889</v>
      </c>
      <c r="F439" s="1" t="s">
        <v>6</v>
      </c>
      <c r="G439" s="1">
        <v>68670</v>
      </c>
      <c r="H439" s="1">
        <v>27</v>
      </c>
      <c r="I439" s="1" t="s">
        <v>80</v>
      </c>
      <c r="J439" s="1">
        <f>+Table2[[#This Row],[Ventas]]/Table2[[#This Row],[Cantidad]]</f>
        <v>2543.3333333333335</v>
      </c>
      <c r="K439" s="1" t="str">
        <f>+_xlfn.IFS(Table2[[#This Row],[Ventas]]&gt;200000,"Alta", Table2[[#This Row],[Ventas]]&gt;100000,"Media",TRUE,"Bajo")</f>
        <v>Bajo</v>
      </c>
    </row>
    <row r="440" spans="1:11" x14ac:dyDescent="0.25">
      <c r="A440" s="1" t="s">
        <v>99</v>
      </c>
      <c r="B440" s="1" t="s">
        <v>127</v>
      </c>
      <c r="C440" s="1" t="s">
        <v>84</v>
      </c>
      <c r="D440" s="1" t="s">
        <v>5</v>
      </c>
      <c r="E440" s="2">
        <v>42202.457638888889</v>
      </c>
      <c r="F440" s="1" t="s">
        <v>6</v>
      </c>
      <c r="G440" s="1">
        <v>227782</v>
      </c>
      <c r="H440" s="1">
        <v>31</v>
      </c>
      <c r="I440" s="1" t="s">
        <v>79</v>
      </c>
      <c r="J440" s="1">
        <f>+Table2[[#This Row],[Ventas]]/Table2[[#This Row],[Cantidad]]</f>
        <v>7347.8064516129034</v>
      </c>
      <c r="K440" s="1" t="str">
        <f>+_xlfn.IFS(Table2[[#This Row],[Ventas]]&gt;200000,"Alta", Table2[[#This Row],[Ventas]]&gt;100000,"Media",TRUE,"Bajo")</f>
        <v>Alta</v>
      </c>
    </row>
    <row r="441" spans="1:11" x14ac:dyDescent="0.25">
      <c r="A441" s="1" t="s">
        <v>99</v>
      </c>
      <c r="B441" s="1" t="s">
        <v>135</v>
      </c>
      <c r="C441" s="1" t="s">
        <v>91</v>
      </c>
      <c r="D441" s="1" t="s">
        <v>9</v>
      </c>
      <c r="E441" s="2">
        <v>42216.457638888889</v>
      </c>
      <c r="F441" s="1" t="s">
        <v>6</v>
      </c>
      <c r="G441" s="1">
        <v>120260</v>
      </c>
      <c r="H441" s="1">
        <v>38</v>
      </c>
      <c r="I441" s="1" t="s">
        <v>81</v>
      </c>
      <c r="J441" s="1">
        <f>+Table2[[#This Row],[Ventas]]/Table2[[#This Row],[Cantidad]]</f>
        <v>3164.7368421052633</v>
      </c>
      <c r="K441" s="1" t="str">
        <f>+_xlfn.IFS(Table2[[#This Row],[Ventas]]&gt;200000,"Alta", Table2[[#This Row],[Ventas]]&gt;100000,"Media",TRUE,"Bajo")</f>
        <v>Media</v>
      </c>
    </row>
    <row r="442" spans="1:11" x14ac:dyDescent="0.25">
      <c r="A442" s="1" t="s">
        <v>99</v>
      </c>
      <c r="B442" s="1" t="s">
        <v>146</v>
      </c>
      <c r="C442" s="1" t="s">
        <v>88</v>
      </c>
      <c r="D442" s="1" t="s">
        <v>9</v>
      </c>
      <c r="E442" s="2">
        <v>42216.457638888889</v>
      </c>
      <c r="F442" s="1" t="s">
        <v>6</v>
      </c>
      <c r="G442" s="1">
        <v>58986</v>
      </c>
      <c r="H442" s="1">
        <v>35</v>
      </c>
      <c r="I442" s="1" t="s">
        <v>80</v>
      </c>
      <c r="J442" s="1">
        <f>+Table2[[#This Row],[Ventas]]/Table2[[#This Row],[Cantidad]]</f>
        <v>1685.3142857142857</v>
      </c>
      <c r="K442" s="1" t="str">
        <f>+_xlfn.IFS(Table2[[#This Row],[Ventas]]&gt;200000,"Alta", Table2[[#This Row],[Ventas]]&gt;100000,"Media",TRUE,"Bajo")</f>
        <v>Bajo</v>
      </c>
    </row>
    <row r="443" spans="1:11" x14ac:dyDescent="0.25">
      <c r="A443" s="1" t="s">
        <v>99</v>
      </c>
      <c r="B443" s="1" t="s">
        <v>140</v>
      </c>
      <c r="C443" s="1" t="s">
        <v>88</v>
      </c>
      <c r="D443" s="1" t="s">
        <v>9</v>
      </c>
      <c r="E443" s="2">
        <v>42186.457638888889</v>
      </c>
      <c r="F443" s="1" t="s">
        <v>6</v>
      </c>
      <c r="G443" s="1">
        <v>174419</v>
      </c>
      <c r="H443" s="1">
        <v>37</v>
      </c>
      <c r="I443" s="1" t="s">
        <v>79</v>
      </c>
      <c r="J443" s="1">
        <f>+Table2[[#This Row],[Ventas]]/Table2[[#This Row],[Cantidad]]</f>
        <v>4714.0270270270266</v>
      </c>
      <c r="K443" s="1" t="str">
        <f>+_xlfn.IFS(Table2[[#This Row],[Ventas]]&gt;200000,"Alta", Table2[[#This Row],[Ventas]]&gt;100000,"Media",TRUE,"Bajo")</f>
        <v>Media</v>
      </c>
    </row>
    <row r="444" spans="1:11" x14ac:dyDescent="0.25">
      <c r="A444" s="1" t="s">
        <v>99</v>
      </c>
      <c r="B444" s="1" t="s">
        <v>140</v>
      </c>
      <c r="C444" s="1" t="s">
        <v>88</v>
      </c>
      <c r="D444" s="1" t="s">
        <v>9</v>
      </c>
      <c r="E444" s="2">
        <v>42186.457638888889</v>
      </c>
      <c r="F444" s="1" t="s">
        <v>6</v>
      </c>
      <c r="G444" s="1">
        <v>198516</v>
      </c>
      <c r="H444" s="1">
        <v>29</v>
      </c>
      <c r="I444" s="1" t="s">
        <v>79</v>
      </c>
      <c r="J444" s="1">
        <f>+Table2[[#This Row],[Ventas]]/Table2[[#This Row],[Cantidad]]</f>
        <v>6845.3793103448279</v>
      </c>
      <c r="K444" s="1" t="str">
        <f>+_xlfn.IFS(Table2[[#This Row],[Ventas]]&gt;200000,"Alta", Table2[[#This Row],[Ventas]]&gt;100000,"Media",TRUE,"Bajo")</f>
        <v>Media</v>
      </c>
    </row>
    <row r="445" spans="1:11" x14ac:dyDescent="0.25">
      <c r="A445" s="1" t="s">
        <v>99</v>
      </c>
      <c r="B445" s="1" t="s">
        <v>140</v>
      </c>
      <c r="C445" s="1" t="s">
        <v>88</v>
      </c>
      <c r="D445" s="1" t="s">
        <v>9</v>
      </c>
      <c r="E445" s="2">
        <v>42186.457638888889</v>
      </c>
      <c r="F445" s="1" t="s">
        <v>6</v>
      </c>
      <c r="G445" s="1">
        <v>184208</v>
      </c>
      <c r="H445" s="1">
        <v>26</v>
      </c>
      <c r="I445" s="1" t="s">
        <v>79</v>
      </c>
      <c r="J445" s="1">
        <f>+Table2[[#This Row],[Ventas]]/Table2[[#This Row],[Cantidad]]</f>
        <v>7084.9230769230771</v>
      </c>
      <c r="K445" s="1" t="str">
        <f>+_xlfn.IFS(Table2[[#This Row],[Ventas]]&gt;200000,"Alta", Table2[[#This Row],[Ventas]]&gt;100000,"Media",TRUE,"Bajo")</f>
        <v>Media</v>
      </c>
    </row>
    <row r="446" spans="1:11" x14ac:dyDescent="0.25">
      <c r="A446" s="1" t="s">
        <v>99</v>
      </c>
      <c r="B446" s="1" t="s">
        <v>58</v>
      </c>
      <c r="C446" s="1" t="s">
        <v>92</v>
      </c>
      <c r="D446" s="1" t="s">
        <v>5</v>
      </c>
      <c r="E446" s="2">
        <v>42186.457638888889</v>
      </c>
      <c r="F446" s="1" t="s">
        <v>7</v>
      </c>
      <c r="G446" s="1">
        <v>100204</v>
      </c>
      <c r="H446" s="1">
        <v>39</v>
      </c>
      <c r="I446" s="1" t="s">
        <v>79</v>
      </c>
      <c r="J446" s="1">
        <f>+Table2[[#This Row],[Ventas]]/Table2[[#This Row],[Cantidad]]</f>
        <v>2569.3333333333335</v>
      </c>
      <c r="K446" s="1" t="str">
        <f>+_xlfn.IFS(Table2[[#This Row],[Ventas]]&gt;200000,"Alta", Table2[[#This Row],[Ventas]]&gt;100000,"Media",TRUE,"Bajo")</f>
        <v>Media</v>
      </c>
    </row>
    <row r="447" spans="1:11" x14ac:dyDescent="0.25">
      <c r="A447" s="1" t="s">
        <v>99</v>
      </c>
      <c r="B447" s="1" t="s">
        <v>124</v>
      </c>
      <c r="C447" s="1" t="s">
        <v>92</v>
      </c>
      <c r="D447" s="1" t="s">
        <v>5</v>
      </c>
      <c r="E447" s="2">
        <v>42186.457638888889</v>
      </c>
      <c r="F447" s="1" t="s">
        <v>7</v>
      </c>
      <c r="G447" s="1">
        <v>212447</v>
      </c>
      <c r="H447" s="1">
        <v>29</v>
      </c>
      <c r="I447" s="1" t="s">
        <v>79</v>
      </c>
      <c r="J447" s="1">
        <f>+Table2[[#This Row],[Ventas]]/Table2[[#This Row],[Cantidad]]</f>
        <v>7325.7586206896549</v>
      </c>
      <c r="K447" s="1" t="str">
        <f>+_xlfn.IFS(Table2[[#This Row],[Ventas]]&gt;200000,"Alta", Table2[[#This Row],[Ventas]]&gt;100000,"Media",TRUE,"Bajo")</f>
        <v>Alta</v>
      </c>
    </row>
    <row r="448" spans="1:11" x14ac:dyDescent="0.25">
      <c r="A448" s="1" t="s">
        <v>99</v>
      </c>
      <c r="B448" s="1" t="s">
        <v>124</v>
      </c>
      <c r="C448" s="1" t="s">
        <v>92</v>
      </c>
      <c r="D448" s="1" t="s">
        <v>5</v>
      </c>
      <c r="E448" s="2">
        <v>42186.457638888889</v>
      </c>
      <c r="F448" s="1" t="s">
        <v>7</v>
      </c>
      <c r="G448" s="1">
        <v>239942</v>
      </c>
      <c r="H448" s="1">
        <v>29</v>
      </c>
      <c r="I448" s="1" t="s">
        <v>80</v>
      </c>
      <c r="J448" s="1">
        <f>+Table2[[#This Row],[Ventas]]/Table2[[#This Row],[Cantidad]]</f>
        <v>8273.8620689655181</v>
      </c>
      <c r="K448" s="1" t="str">
        <f>+_xlfn.IFS(Table2[[#This Row],[Ventas]]&gt;200000,"Alta", Table2[[#This Row],[Ventas]]&gt;100000,"Media",TRUE,"Bajo")</f>
        <v>Alta</v>
      </c>
    </row>
    <row r="449" spans="1:11" x14ac:dyDescent="0.25">
      <c r="A449" s="1" t="s">
        <v>99</v>
      </c>
      <c r="B449" s="1" t="s">
        <v>146</v>
      </c>
      <c r="C449" s="1" t="s">
        <v>88</v>
      </c>
      <c r="D449" s="1" t="s">
        <v>9</v>
      </c>
      <c r="E449" s="2">
        <v>42200.457638888889</v>
      </c>
      <c r="F449" s="1" t="s">
        <v>6</v>
      </c>
      <c r="G449" s="1">
        <v>198651</v>
      </c>
      <c r="H449" s="1">
        <v>21</v>
      </c>
      <c r="I449" s="1" t="s">
        <v>93</v>
      </c>
      <c r="J449" s="1">
        <f>+Table2[[#This Row],[Ventas]]/Table2[[#This Row],[Cantidad]]</f>
        <v>9459.5714285714294</v>
      </c>
      <c r="K449" s="1" t="str">
        <f>+_xlfn.IFS(Table2[[#This Row],[Ventas]]&gt;200000,"Alta", Table2[[#This Row],[Ventas]]&gt;100000,"Media",TRUE,"Bajo")</f>
        <v>Media</v>
      </c>
    </row>
    <row r="450" spans="1:11" x14ac:dyDescent="0.25">
      <c r="A450" s="1" t="s">
        <v>99</v>
      </c>
      <c r="B450" s="1" t="s">
        <v>147</v>
      </c>
      <c r="C450" s="1" t="s">
        <v>91</v>
      </c>
      <c r="D450" s="1" t="s">
        <v>9</v>
      </c>
      <c r="E450" s="2">
        <v>42186.457638888889</v>
      </c>
      <c r="F450" s="1" t="s">
        <v>6</v>
      </c>
      <c r="G450" s="1">
        <v>248774</v>
      </c>
      <c r="H450" s="1">
        <v>26</v>
      </c>
      <c r="I450" s="1" t="s">
        <v>79</v>
      </c>
      <c r="J450" s="1">
        <f>+Table2[[#This Row],[Ventas]]/Table2[[#This Row],[Cantidad]]</f>
        <v>9568.2307692307695</v>
      </c>
      <c r="K450" s="1" t="str">
        <f>+_xlfn.IFS(Table2[[#This Row],[Ventas]]&gt;200000,"Alta", Table2[[#This Row],[Ventas]]&gt;100000,"Media",TRUE,"Bajo")</f>
        <v>Alta</v>
      </c>
    </row>
    <row r="451" spans="1:11" x14ac:dyDescent="0.25">
      <c r="A451" s="1" t="s">
        <v>99</v>
      </c>
      <c r="B451" s="1" t="s">
        <v>140</v>
      </c>
      <c r="C451" s="1" t="s">
        <v>88</v>
      </c>
      <c r="D451" s="1" t="s">
        <v>9</v>
      </c>
      <c r="E451" s="2">
        <v>42186.457638888889</v>
      </c>
      <c r="F451" s="1" t="s">
        <v>6</v>
      </c>
      <c r="G451" s="1">
        <v>179447</v>
      </c>
      <c r="H451" s="1">
        <v>32</v>
      </c>
      <c r="I451" s="1" t="s">
        <v>79</v>
      </c>
      <c r="J451" s="1">
        <f>+Table2[[#This Row],[Ventas]]/Table2[[#This Row],[Cantidad]]</f>
        <v>5607.71875</v>
      </c>
      <c r="K451" s="1" t="str">
        <f>+_xlfn.IFS(Table2[[#This Row],[Ventas]]&gt;200000,"Alta", Table2[[#This Row],[Ventas]]&gt;100000,"Media",TRUE,"Bajo")</f>
        <v>Media</v>
      </c>
    </row>
    <row r="452" spans="1:11" x14ac:dyDescent="0.25">
      <c r="A452" s="1" t="s">
        <v>99</v>
      </c>
      <c r="B452" s="1" t="s">
        <v>140</v>
      </c>
      <c r="C452" s="1" t="s">
        <v>88</v>
      </c>
      <c r="D452" s="1" t="s">
        <v>9</v>
      </c>
      <c r="E452" s="2">
        <v>42186.457638888889</v>
      </c>
      <c r="F452" s="1" t="s">
        <v>6</v>
      </c>
      <c r="G452" s="1">
        <v>72960</v>
      </c>
      <c r="H452" s="1">
        <v>36</v>
      </c>
      <c r="I452" s="1" t="s">
        <v>79</v>
      </c>
      <c r="J452" s="1">
        <f>+Table2[[#This Row],[Ventas]]/Table2[[#This Row],[Cantidad]]</f>
        <v>2026.6666666666667</v>
      </c>
      <c r="K452" s="1" t="str">
        <f>+_xlfn.IFS(Table2[[#This Row],[Ventas]]&gt;200000,"Alta", Table2[[#This Row],[Ventas]]&gt;100000,"Media",TRUE,"Bajo")</f>
        <v>Bajo</v>
      </c>
    </row>
    <row r="453" spans="1:11" x14ac:dyDescent="0.25">
      <c r="A453" s="1" t="s">
        <v>99</v>
      </c>
      <c r="B453" s="1" t="s">
        <v>19</v>
      </c>
      <c r="C453" s="1" t="s">
        <v>91</v>
      </c>
      <c r="D453" s="1" t="s">
        <v>9</v>
      </c>
      <c r="E453" s="2">
        <v>42216.457638888889</v>
      </c>
      <c r="F453" s="1" t="s">
        <v>6</v>
      </c>
      <c r="G453" s="1">
        <v>109064</v>
      </c>
      <c r="H453" s="1">
        <v>16</v>
      </c>
      <c r="I453" s="1" t="s">
        <v>80</v>
      </c>
      <c r="J453" s="1">
        <f>+Table2[[#This Row],[Ventas]]/Table2[[#This Row],[Cantidad]]</f>
        <v>6816.5</v>
      </c>
      <c r="K453" s="1" t="str">
        <f>+_xlfn.IFS(Table2[[#This Row],[Ventas]]&gt;200000,"Alta", Table2[[#This Row],[Ventas]]&gt;100000,"Media",TRUE,"Bajo")</f>
        <v>Media</v>
      </c>
    </row>
    <row r="454" spans="1:11" x14ac:dyDescent="0.25">
      <c r="A454" s="1" t="s">
        <v>99</v>
      </c>
      <c r="B454" s="1" t="s">
        <v>110</v>
      </c>
      <c r="C454" s="1" t="s">
        <v>92</v>
      </c>
      <c r="D454" s="1" t="s">
        <v>5</v>
      </c>
      <c r="E454" s="2">
        <v>42209.457638888889</v>
      </c>
      <c r="F454" s="1" t="s">
        <v>10</v>
      </c>
      <c r="G454" s="1">
        <v>164976</v>
      </c>
      <c r="H454" s="1">
        <v>36</v>
      </c>
      <c r="I454" s="1" t="s">
        <v>79</v>
      </c>
      <c r="J454" s="1">
        <f>+Table2[[#This Row],[Ventas]]/Table2[[#This Row],[Cantidad]]</f>
        <v>4582.666666666667</v>
      </c>
      <c r="K454" s="1" t="str">
        <f>+_xlfn.IFS(Table2[[#This Row],[Ventas]]&gt;200000,"Alta", Table2[[#This Row],[Ventas]]&gt;100000,"Media",TRUE,"Bajo")</f>
        <v>Media</v>
      </c>
    </row>
    <row r="455" spans="1:11" x14ac:dyDescent="0.25">
      <c r="A455" s="1" t="s">
        <v>99</v>
      </c>
      <c r="B455" s="1" t="s">
        <v>146</v>
      </c>
      <c r="C455" s="1" t="s">
        <v>88</v>
      </c>
      <c r="D455" s="1" t="s">
        <v>9</v>
      </c>
      <c r="E455" s="2">
        <v>42216.457638888889</v>
      </c>
      <c r="F455" s="1" t="s">
        <v>6</v>
      </c>
      <c r="G455" s="1">
        <v>233246</v>
      </c>
      <c r="H455" s="1">
        <v>17</v>
      </c>
      <c r="I455" s="1" t="s">
        <v>79</v>
      </c>
      <c r="J455" s="1">
        <f>+Table2[[#This Row],[Ventas]]/Table2[[#This Row],[Cantidad]]</f>
        <v>13720.35294117647</v>
      </c>
      <c r="K455" s="1" t="str">
        <f>+_xlfn.IFS(Table2[[#This Row],[Ventas]]&gt;200000,"Alta", Table2[[#This Row],[Ventas]]&gt;100000,"Media",TRUE,"Bajo")</f>
        <v>Alta</v>
      </c>
    </row>
    <row r="456" spans="1:11" x14ac:dyDescent="0.25">
      <c r="A456" s="1" t="s">
        <v>99</v>
      </c>
      <c r="B456" s="1" t="s">
        <v>144</v>
      </c>
      <c r="C456" s="1" t="s">
        <v>84</v>
      </c>
      <c r="D456" s="1" t="s">
        <v>5</v>
      </c>
      <c r="E456" s="2">
        <v>42186.457638888889</v>
      </c>
      <c r="F456" s="1" t="s">
        <v>12</v>
      </c>
      <c r="G456" s="1">
        <v>183123</v>
      </c>
      <c r="H456" s="1">
        <v>16</v>
      </c>
      <c r="I456" s="1" t="s">
        <v>80</v>
      </c>
      <c r="J456" s="1">
        <f>+Table2[[#This Row],[Ventas]]/Table2[[#This Row],[Cantidad]]</f>
        <v>11445.1875</v>
      </c>
      <c r="K456" s="1" t="str">
        <f>+_xlfn.IFS(Table2[[#This Row],[Ventas]]&gt;200000,"Alta", Table2[[#This Row],[Ventas]]&gt;100000,"Media",TRUE,"Bajo")</f>
        <v>Media</v>
      </c>
    </row>
    <row r="457" spans="1:11" x14ac:dyDescent="0.25">
      <c r="A457" s="1" t="s">
        <v>99</v>
      </c>
      <c r="B457" s="1" t="s">
        <v>144</v>
      </c>
      <c r="C457" s="1" t="s">
        <v>84</v>
      </c>
      <c r="D457" s="1" t="s">
        <v>5</v>
      </c>
      <c r="E457" s="2">
        <v>42186.457638888889</v>
      </c>
      <c r="F457" s="1" t="s">
        <v>12</v>
      </c>
      <c r="G457" s="1">
        <v>170518</v>
      </c>
      <c r="H457" s="1">
        <v>32</v>
      </c>
      <c r="I457" s="1" t="s">
        <v>79</v>
      </c>
      <c r="J457" s="1">
        <f>+Table2[[#This Row],[Ventas]]/Table2[[#This Row],[Cantidad]]</f>
        <v>5328.6875</v>
      </c>
      <c r="K457" s="1" t="str">
        <f>+_xlfn.IFS(Table2[[#This Row],[Ventas]]&gt;200000,"Alta", Table2[[#This Row],[Ventas]]&gt;100000,"Media",TRUE,"Bajo")</f>
        <v>Media</v>
      </c>
    </row>
    <row r="458" spans="1:11" x14ac:dyDescent="0.25">
      <c r="A458" s="1" t="s">
        <v>99</v>
      </c>
      <c r="B458" s="1" t="s">
        <v>144</v>
      </c>
      <c r="C458" s="1" t="s">
        <v>85</v>
      </c>
      <c r="D458" s="1" t="s">
        <v>5</v>
      </c>
      <c r="E458" s="2">
        <v>42186.457638888889</v>
      </c>
      <c r="F458" s="1" t="s">
        <v>12</v>
      </c>
      <c r="G458" s="1">
        <v>79375</v>
      </c>
      <c r="H458" s="1">
        <v>25</v>
      </c>
      <c r="I458" s="1" t="s">
        <v>79</v>
      </c>
      <c r="J458" s="1">
        <f>+Table2[[#This Row],[Ventas]]/Table2[[#This Row],[Cantidad]]</f>
        <v>3175</v>
      </c>
      <c r="K458" s="1" t="str">
        <f>+_xlfn.IFS(Table2[[#This Row],[Ventas]]&gt;200000,"Alta", Table2[[#This Row],[Ventas]]&gt;100000,"Media",TRUE,"Bajo")</f>
        <v>Bajo</v>
      </c>
    </row>
    <row r="459" spans="1:11" x14ac:dyDescent="0.25">
      <c r="A459" s="1" t="s">
        <v>99</v>
      </c>
      <c r="B459" s="1" t="s">
        <v>144</v>
      </c>
      <c r="C459" s="1" t="s">
        <v>85</v>
      </c>
      <c r="D459" s="1" t="s">
        <v>5</v>
      </c>
      <c r="E459" s="2">
        <v>42186.457638888889</v>
      </c>
      <c r="F459" s="1" t="s">
        <v>12</v>
      </c>
      <c r="G459" s="1">
        <v>91631</v>
      </c>
      <c r="H459" s="1">
        <v>26</v>
      </c>
      <c r="I459" s="1" t="s">
        <v>81</v>
      </c>
      <c r="J459" s="1">
        <f>+Table2[[#This Row],[Ventas]]/Table2[[#This Row],[Cantidad]]</f>
        <v>3524.2692307692309</v>
      </c>
      <c r="K459" s="1" t="str">
        <f>+_xlfn.IFS(Table2[[#This Row],[Ventas]]&gt;200000,"Alta", Table2[[#This Row],[Ventas]]&gt;100000,"Media",TRUE,"Bajo")</f>
        <v>Bajo</v>
      </c>
    </row>
    <row r="460" spans="1:11" x14ac:dyDescent="0.25">
      <c r="A460" s="1" t="s">
        <v>99</v>
      </c>
      <c r="B460" s="1" t="s">
        <v>144</v>
      </c>
      <c r="C460" s="1" t="s">
        <v>85</v>
      </c>
      <c r="D460" s="1" t="s">
        <v>5</v>
      </c>
      <c r="E460" s="2">
        <v>42186.457638888889</v>
      </c>
      <c r="F460" s="1" t="s">
        <v>12</v>
      </c>
      <c r="G460" s="1">
        <v>197505</v>
      </c>
      <c r="H460" s="1">
        <v>29</v>
      </c>
      <c r="I460" s="1" t="s">
        <v>79</v>
      </c>
      <c r="J460" s="1">
        <f>+Table2[[#This Row],[Ventas]]/Table2[[#This Row],[Cantidad]]</f>
        <v>6810.5172413793107</v>
      </c>
      <c r="K460" s="1" t="str">
        <f>+_xlfn.IFS(Table2[[#This Row],[Ventas]]&gt;200000,"Alta", Table2[[#This Row],[Ventas]]&gt;100000,"Media",TRUE,"Bajo")</f>
        <v>Media</v>
      </c>
    </row>
    <row r="461" spans="1:11" x14ac:dyDescent="0.25">
      <c r="A461" s="1" t="s">
        <v>99</v>
      </c>
      <c r="B461" s="1" t="s">
        <v>127</v>
      </c>
      <c r="C461" s="1" t="s">
        <v>84</v>
      </c>
      <c r="D461" s="1" t="s">
        <v>5</v>
      </c>
      <c r="E461" s="2">
        <v>42202.457638888889</v>
      </c>
      <c r="F461" s="1" t="s">
        <v>6</v>
      </c>
      <c r="G461" s="1">
        <v>87161</v>
      </c>
      <c r="H461" s="1">
        <v>17</v>
      </c>
      <c r="I461" s="1" t="s">
        <v>79</v>
      </c>
      <c r="J461" s="1">
        <f>+Table2[[#This Row],[Ventas]]/Table2[[#This Row],[Cantidad]]</f>
        <v>5127.1176470588234</v>
      </c>
      <c r="K461" s="1" t="str">
        <f>+_xlfn.IFS(Table2[[#This Row],[Ventas]]&gt;200000,"Alta", Table2[[#This Row],[Ventas]]&gt;100000,"Media",TRUE,"Bajo")</f>
        <v>Bajo</v>
      </c>
    </row>
    <row r="462" spans="1:11" x14ac:dyDescent="0.25">
      <c r="A462" s="1" t="s">
        <v>99</v>
      </c>
      <c r="B462" s="1" t="s">
        <v>144</v>
      </c>
      <c r="C462" s="1" t="s">
        <v>85</v>
      </c>
      <c r="D462" s="1" t="s">
        <v>5</v>
      </c>
      <c r="E462" s="2">
        <v>42186.457638888889</v>
      </c>
      <c r="F462" s="1" t="s">
        <v>6</v>
      </c>
      <c r="G462" s="1">
        <v>225074</v>
      </c>
      <c r="H462" s="1">
        <v>17</v>
      </c>
      <c r="I462" s="1" t="s">
        <v>81</v>
      </c>
      <c r="J462" s="1">
        <f>+Table2[[#This Row],[Ventas]]/Table2[[#This Row],[Cantidad]]</f>
        <v>13239.64705882353</v>
      </c>
      <c r="K462" s="1" t="str">
        <f>+_xlfn.IFS(Table2[[#This Row],[Ventas]]&gt;200000,"Alta", Table2[[#This Row],[Ventas]]&gt;100000,"Media",TRUE,"Bajo")</f>
        <v>Alta</v>
      </c>
    </row>
    <row r="463" spans="1:11" x14ac:dyDescent="0.25">
      <c r="A463" s="1" t="s">
        <v>99</v>
      </c>
      <c r="B463" s="1" t="s">
        <v>135</v>
      </c>
      <c r="C463" s="1" t="s">
        <v>91</v>
      </c>
      <c r="D463" s="1" t="s">
        <v>9</v>
      </c>
      <c r="E463" s="2">
        <v>42216.457638888889</v>
      </c>
      <c r="F463" s="1" t="s">
        <v>6</v>
      </c>
      <c r="G463" s="1">
        <v>229595</v>
      </c>
      <c r="H463" s="1">
        <v>20</v>
      </c>
      <c r="I463" s="1" t="s">
        <v>81</v>
      </c>
      <c r="J463" s="1">
        <f>+Table2[[#This Row],[Ventas]]/Table2[[#This Row],[Cantidad]]</f>
        <v>11479.75</v>
      </c>
      <c r="K463" s="1" t="str">
        <f>+_xlfn.IFS(Table2[[#This Row],[Ventas]]&gt;200000,"Alta", Table2[[#This Row],[Ventas]]&gt;100000,"Media",TRUE,"Bajo")</f>
        <v>Alta</v>
      </c>
    </row>
    <row r="464" spans="1:11" x14ac:dyDescent="0.25">
      <c r="A464" s="1" t="s">
        <v>99</v>
      </c>
      <c r="B464" s="1" t="s">
        <v>138</v>
      </c>
      <c r="C464" s="1" t="s">
        <v>92</v>
      </c>
      <c r="D464" s="1" t="s">
        <v>5</v>
      </c>
      <c r="E464" s="2">
        <v>42186.457638888889</v>
      </c>
      <c r="F464" s="1" t="s">
        <v>6</v>
      </c>
      <c r="G464" s="1">
        <v>230903</v>
      </c>
      <c r="H464" s="1">
        <v>35</v>
      </c>
      <c r="I464" s="1" t="s">
        <v>93</v>
      </c>
      <c r="J464" s="1">
        <f>+Table2[[#This Row],[Ventas]]/Table2[[#This Row],[Cantidad]]</f>
        <v>6597.2285714285717</v>
      </c>
      <c r="K464" s="1" t="str">
        <f>+_xlfn.IFS(Table2[[#This Row],[Ventas]]&gt;200000,"Alta", Table2[[#This Row],[Ventas]]&gt;100000,"Media",TRUE,"Bajo")</f>
        <v>Alta</v>
      </c>
    </row>
    <row r="465" spans="1:11" x14ac:dyDescent="0.25">
      <c r="A465" s="1" t="s">
        <v>99</v>
      </c>
      <c r="B465" s="1" t="s">
        <v>140</v>
      </c>
      <c r="C465" s="1" t="s">
        <v>88</v>
      </c>
      <c r="D465" s="1" t="s">
        <v>9</v>
      </c>
      <c r="E465" s="2">
        <v>42186.457638888889</v>
      </c>
      <c r="F465" s="1" t="s">
        <v>6</v>
      </c>
      <c r="G465" s="1">
        <v>169458</v>
      </c>
      <c r="H465" s="1">
        <v>17</v>
      </c>
      <c r="I465" s="1" t="s">
        <v>79</v>
      </c>
      <c r="J465" s="1">
        <f>+Table2[[#This Row],[Ventas]]/Table2[[#This Row],[Cantidad]]</f>
        <v>9968.1176470588234</v>
      </c>
      <c r="K465" s="1" t="str">
        <f>+_xlfn.IFS(Table2[[#This Row],[Ventas]]&gt;200000,"Alta", Table2[[#This Row],[Ventas]]&gt;100000,"Media",TRUE,"Bajo")</f>
        <v>Media</v>
      </c>
    </row>
    <row r="466" spans="1:11" x14ac:dyDescent="0.25">
      <c r="A466" s="1" t="s">
        <v>99</v>
      </c>
      <c r="B466" s="1" t="s">
        <v>126</v>
      </c>
      <c r="C466" s="1" t="s">
        <v>91</v>
      </c>
      <c r="D466" s="1" t="s">
        <v>9</v>
      </c>
      <c r="E466" s="2">
        <v>42186.457638888889</v>
      </c>
      <c r="F466" s="1" t="s">
        <v>7</v>
      </c>
      <c r="G466" s="1">
        <v>162994</v>
      </c>
      <c r="H466" s="1">
        <v>29</v>
      </c>
      <c r="I466" s="1" t="s">
        <v>81</v>
      </c>
      <c r="J466" s="1">
        <f>+Table2[[#This Row],[Ventas]]/Table2[[#This Row],[Cantidad]]</f>
        <v>5620.4827586206893</v>
      </c>
      <c r="K466" s="1" t="str">
        <f>+_xlfn.IFS(Table2[[#This Row],[Ventas]]&gt;200000,"Alta", Table2[[#This Row],[Ventas]]&gt;100000,"Media",TRUE,"Bajo")</f>
        <v>Media</v>
      </c>
    </row>
    <row r="467" spans="1:11" x14ac:dyDescent="0.25">
      <c r="A467" s="1" t="s">
        <v>99</v>
      </c>
      <c r="B467" s="1" t="s">
        <v>144</v>
      </c>
      <c r="C467" s="1" t="s">
        <v>84</v>
      </c>
      <c r="D467" s="1" t="s">
        <v>5</v>
      </c>
      <c r="E467" s="2">
        <v>42186.457638888889</v>
      </c>
      <c r="F467" s="1" t="s">
        <v>12</v>
      </c>
      <c r="G467" s="1">
        <v>152617</v>
      </c>
      <c r="H467" s="1">
        <v>36</v>
      </c>
      <c r="I467" s="1" t="s">
        <v>79</v>
      </c>
      <c r="J467" s="1">
        <f>+Table2[[#This Row],[Ventas]]/Table2[[#This Row],[Cantidad]]</f>
        <v>4239.3611111111113</v>
      </c>
      <c r="K467" s="1" t="str">
        <f>+_xlfn.IFS(Table2[[#This Row],[Ventas]]&gt;200000,"Alta", Table2[[#This Row],[Ventas]]&gt;100000,"Media",TRUE,"Bajo")</f>
        <v>Media</v>
      </c>
    </row>
    <row r="468" spans="1:11" x14ac:dyDescent="0.25">
      <c r="A468" s="1" t="s">
        <v>99</v>
      </c>
      <c r="B468" s="1" t="s">
        <v>123</v>
      </c>
      <c r="C468" s="1" t="s">
        <v>84</v>
      </c>
      <c r="D468" s="1" t="s">
        <v>5</v>
      </c>
      <c r="E468" s="2">
        <v>42186.457638888889</v>
      </c>
      <c r="F468" s="1" t="s">
        <v>6</v>
      </c>
      <c r="G468" s="1">
        <v>201906</v>
      </c>
      <c r="H468" s="1">
        <v>21</v>
      </c>
      <c r="I468" s="1" t="s">
        <v>79</v>
      </c>
      <c r="J468" s="1">
        <f>+Table2[[#This Row],[Ventas]]/Table2[[#This Row],[Cantidad]]</f>
        <v>9614.5714285714294</v>
      </c>
      <c r="K468" s="1" t="str">
        <f>+_xlfn.IFS(Table2[[#This Row],[Ventas]]&gt;200000,"Alta", Table2[[#This Row],[Ventas]]&gt;100000,"Media",TRUE,"Bajo")</f>
        <v>Alta</v>
      </c>
    </row>
    <row r="469" spans="1:11" x14ac:dyDescent="0.25">
      <c r="A469" s="1" t="s">
        <v>99</v>
      </c>
      <c r="B469" s="1" t="s">
        <v>144</v>
      </c>
      <c r="C469" s="1" t="s">
        <v>85</v>
      </c>
      <c r="D469" s="1" t="s">
        <v>5</v>
      </c>
      <c r="E469" s="2">
        <v>42186.457638888889</v>
      </c>
      <c r="F469" s="1" t="s">
        <v>6</v>
      </c>
      <c r="G469" s="1">
        <v>138797</v>
      </c>
      <c r="H469" s="1">
        <v>37</v>
      </c>
      <c r="I469" s="1" t="s">
        <v>81</v>
      </c>
      <c r="J469" s="1">
        <f>+Table2[[#This Row],[Ventas]]/Table2[[#This Row],[Cantidad]]</f>
        <v>3751.2702702702704</v>
      </c>
      <c r="K469" s="1" t="str">
        <f>+_xlfn.IFS(Table2[[#This Row],[Ventas]]&gt;200000,"Alta", Table2[[#This Row],[Ventas]]&gt;100000,"Media",TRUE,"Bajo")</f>
        <v>Media</v>
      </c>
    </row>
    <row r="470" spans="1:11" x14ac:dyDescent="0.25">
      <c r="A470" s="1" t="s">
        <v>99</v>
      </c>
      <c r="B470" s="1" t="s">
        <v>129</v>
      </c>
      <c r="C470" s="1" t="s">
        <v>91</v>
      </c>
      <c r="D470" s="1" t="s">
        <v>9</v>
      </c>
      <c r="E470" s="2">
        <v>42209.457638888889</v>
      </c>
      <c r="F470" s="1" t="s">
        <v>6</v>
      </c>
      <c r="G470" s="1">
        <v>81100</v>
      </c>
      <c r="H470" s="1">
        <v>21</v>
      </c>
      <c r="I470" s="1" t="s">
        <v>80</v>
      </c>
      <c r="J470" s="1">
        <f>+Table2[[#This Row],[Ventas]]/Table2[[#This Row],[Cantidad]]</f>
        <v>3861.9047619047619</v>
      </c>
      <c r="K470" s="1" t="str">
        <f>+_xlfn.IFS(Table2[[#This Row],[Ventas]]&gt;200000,"Alta", Table2[[#This Row],[Ventas]]&gt;100000,"Media",TRUE,"Bajo")</f>
        <v>Bajo</v>
      </c>
    </row>
    <row r="471" spans="1:11" x14ac:dyDescent="0.25">
      <c r="A471" s="1" t="s">
        <v>99</v>
      </c>
      <c r="B471" s="1" t="s">
        <v>141</v>
      </c>
      <c r="C471" s="1" t="s">
        <v>91</v>
      </c>
      <c r="D471" s="1" t="s">
        <v>9</v>
      </c>
      <c r="E471" s="2">
        <v>42216.457638888889</v>
      </c>
      <c r="F471" s="1" t="s">
        <v>6</v>
      </c>
      <c r="G471" s="1">
        <v>186666</v>
      </c>
      <c r="H471" s="1">
        <v>40</v>
      </c>
      <c r="I471" s="1" t="s">
        <v>82</v>
      </c>
      <c r="J471" s="1">
        <f>+Table2[[#This Row],[Ventas]]/Table2[[#This Row],[Cantidad]]</f>
        <v>4666.6499999999996</v>
      </c>
      <c r="K471" s="1" t="str">
        <f>+_xlfn.IFS(Table2[[#This Row],[Ventas]]&gt;200000,"Alta", Table2[[#This Row],[Ventas]]&gt;100000,"Media",TRUE,"Bajo")</f>
        <v>Media</v>
      </c>
    </row>
    <row r="472" spans="1:11" x14ac:dyDescent="0.25">
      <c r="A472" s="1" t="s">
        <v>99</v>
      </c>
      <c r="B472" s="1" t="s">
        <v>146</v>
      </c>
      <c r="C472" s="1" t="s">
        <v>88</v>
      </c>
      <c r="D472" s="1" t="s">
        <v>9</v>
      </c>
      <c r="E472" s="2">
        <v>42200.457638888889</v>
      </c>
      <c r="F472" s="1" t="s">
        <v>6</v>
      </c>
      <c r="G472" s="1">
        <v>101941</v>
      </c>
      <c r="H472" s="1">
        <v>25</v>
      </c>
      <c r="I472" s="1" t="s">
        <v>93</v>
      </c>
      <c r="J472" s="1">
        <f>+Table2[[#This Row],[Ventas]]/Table2[[#This Row],[Cantidad]]</f>
        <v>4077.64</v>
      </c>
      <c r="K472" s="1" t="str">
        <f>+_xlfn.IFS(Table2[[#This Row],[Ventas]]&gt;200000,"Alta", Table2[[#This Row],[Ventas]]&gt;100000,"Media",TRUE,"Bajo")</f>
        <v>Media</v>
      </c>
    </row>
    <row r="473" spans="1:11" x14ac:dyDescent="0.25">
      <c r="A473" s="1" t="s">
        <v>100</v>
      </c>
      <c r="B473" s="1" t="s">
        <v>15</v>
      </c>
      <c r="C473" s="1" t="s">
        <v>92</v>
      </c>
      <c r="D473" s="1" t="s">
        <v>5</v>
      </c>
      <c r="E473" s="2">
        <v>42186.457638888889</v>
      </c>
      <c r="F473" s="1" t="s">
        <v>7</v>
      </c>
      <c r="G473" s="1">
        <v>187411</v>
      </c>
      <c r="H473" s="1">
        <v>32</v>
      </c>
      <c r="I473" s="1" t="s">
        <v>80</v>
      </c>
      <c r="J473" s="1">
        <f>+Table2[[#This Row],[Ventas]]/Table2[[#This Row],[Cantidad]]</f>
        <v>5856.59375</v>
      </c>
      <c r="K473" s="1" t="str">
        <f>+_xlfn.IFS(Table2[[#This Row],[Ventas]]&gt;200000,"Alta", Table2[[#This Row],[Ventas]]&gt;100000,"Media",TRUE,"Bajo")</f>
        <v>Media</v>
      </c>
    </row>
    <row r="474" spans="1:11" x14ac:dyDescent="0.25">
      <c r="A474" s="1" t="s">
        <v>100</v>
      </c>
      <c r="B474" s="1" t="s">
        <v>126</v>
      </c>
      <c r="C474" s="1" t="s">
        <v>91</v>
      </c>
      <c r="D474" s="1" t="s">
        <v>9</v>
      </c>
      <c r="E474" s="2">
        <v>42186.457638888889</v>
      </c>
      <c r="F474" s="1" t="s">
        <v>7</v>
      </c>
      <c r="G474" s="1">
        <v>66248</v>
      </c>
      <c r="H474" s="1">
        <v>31</v>
      </c>
      <c r="I474" s="1" t="s">
        <v>82</v>
      </c>
      <c r="J474" s="1">
        <f>+Table2[[#This Row],[Ventas]]/Table2[[#This Row],[Cantidad]]</f>
        <v>2137.0322580645161</v>
      </c>
      <c r="K474" s="1" t="str">
        <f>+_xlfn.IFS(Table2[[#This Row],[Ventas]]&gt;200000,"Alta", Table2[[#This Row],[Ventas]]&gt;100000,"Media",TRUE,"Bajo")</f>
        <v>Bajo</v>
      </c>
    </row>
    <row r="475" spans="1:11" x14ac:dyDescent="0.25">
      <c r="A475" s="1" t="s">
        <v>100</v>
      </c>
      <c r="B475" s="1" t="s">
        <v>126</v>
      </c>
      <c r="C475" s="1" t="s">
        <v>91</v>
      </c>
      <c r="D475" s="1" t="s">
        <v>9</v>
      </c>
      <c r="E475" s="2">
        <v>42186.457638888889</v>
      </c>
      <c r="F475" s="1" t="s">
        <v>7</v>
      </c>
      <c r="G475" s="1">
        <v>85849</v>
      </c>
      <c r="H475" s="1">
        <v>39</v>
      </c>
      <c r="I475" s="1" t="s">
        <v>81</v>
      </c>
      <c r="J475" s="1">
        <f>+Table2[[#This Row],[Ventas]]/Table2[[#This Row],[Cantidad]]</f>
        <v>2201.2564102564102</v>
      </c>
      <c r="K475" s="1" t="str">
        <f>+_xlfn.IFS(Table2[[#This Row],[Ventas]]&gt;200000,"Alta", Table2[[#This Row],[Ventas]]&gt;100000,"Media",TRUE,"Bajo")</f>
        <v>Bajo</v>
      </c>
    </row>
    <row r="476" spans="1:11" x14ac:dyDescent="0.25">
      <c r="A476" s="1" t="s">
        <v>100</v>
      </c>
      <c r="B476" s="1" t="s">
        <v>144</v>
      </c>
      <c r="C476" s="1" t="s">
        <v>84</v>
      </c>
      <c r="D476" s="1" t="s">
        <v>5</v>
      </c>
      <c r="E476" s="2">
        <v>42186.457638888889</v>
      </c>
      <c r="F476" s="1" t="s">
        <v>12</v>
      </c>
      <c r="G476" s="1">
        <v>115067</v>
      </c>
      <c r="H476" s="1">
        <v>20</v>
      </c>
      <c r="I476" s="1" t="s">
        <v>79</v>
      </c>
      <c r="J476" s="1">
        <f>+Table2[[#This Row],[Ventas]]/Table2[[#This Row],[Cantidad]]</f>
        <v>5753.35</v>
      </c>
      <c r="K476" s="1" t="str">
        <f>+_xlfn.IFS(Table2[[#This Row],[Ventas]]&gt;200000,"Alta", Table2[[#This Row],[Ventas]]&gt;100000,"Media",TRUE,"Bajo")</f>
        <v>Media</v>
      </c>
    </row>
    <row r="477" spans="1:11" x14ac:dyDescent="0.25">
      <c r="A477" s="1" t="s">
        <v>100</v>
      </c>
      <c r="B477" s="1" t="s">
        <v>144</v>
      </c>
      <c r="C477" s="1" t="s">
        <v>85</v>
      </c>
      <c r="D477" s="1" t="s">
        <v>5</v>
      </c>
      <c r="E477" s="2">
        <v>42186.457638888889</v>
      </c>
      <c r="F477" s="1" t="s">
        <v>12</v>
      </c>
      <c r="G477" s="1">
        <v>160313</v>
      </c>
      <c r="H477" s="1">
        <v>27</v>
      </c>
      <c r="I477" s="1" t="s">
        <v>81</v>
      </c>
      <c r="J477" s="1">
        <f>+Table2[[#This Row],[Ventas]]/Table2[[#This Row],[Cantidad]]</f>
        <v>5937.5185185185182</v>
      </c>
      <c r="K477" s="1" t="str">
        <f>+_xlfn.IFS(Table2[[#This Row],[Ventas]]&gt;200000,"Alta", Table2[[#This Row],[Ventas]]&gt;100000,"Media",TRUE,"Bajo")</f>
        <v>Media</v>
      </c>
    </row>
    <row r="478" spans="1:11" x14ac:dyDescent="0.25">
      <c r="A478" s="1" t="s">
        <v>100</v>
      </c>
      <c r="B478" s="1" t="s">
        <v>35</v>
      </c>
      <c r="C478" s="1" t="s">
        <v>91</v>
      </c>
      <c r="D478" s="1" t="s">
        <v>9</v>
      </c>
      <c r="E478" s="2">
        <v>42209.457638888889</v>
      </c>
      <c r="F478" s="1" t="s">
        <v>7</v>
      </c>
      <c r="G478" s="1">
        <v>143127</v>
      </c>
      <c r="H478" s="1">
        <v>27</v>
      </c>
      <c r="I478" s="1" t="s">
        <v>93</v>
      </c>
      <c r="J478" s="1">
        <f>+Table2[[#This Row],[Ventas]]/Table2[[#This Row],[Cantidad]]</f>
        <v>5301</v>
      </c>
      <c r="K478" s="1" t="str">
        <f>+_xlfn.IFS(Table2[[#This Row],[Ventas]]&gt;200000,"Alta", Table2[[#This Row],[Ventas]]&gt;100000,"Media",TRUE,"Bajo")</f>
        <v>Media</v>
      </c>
    </row>
    <row r="479" spans="1:11" x14ac:dyDescent="0.25">
      <c r="A479" s="1" t="s">
        <v>100</v>
      </c>
      <c r="B479" s="1" t="s">
        <v>129</v>
      </c>
      <c r="C479" s="1" t="s">
        <v>91</v>
      </c>
      <c r="D479" s="1" t="s">
        <v>9</v>
      </c>
      <c r="E479" s="2">
        <v>42209.457638888889</v>
      </c>
      <c r="F479" s="1" t="s">
        <v>7</v>
      </c>
      <c r="G479" s="1">
        <v>130705</v>
      </c>
      <c r="H479" s="1">
        <v>36</v>
      </c>
      <c r="I479" s="1" t="s">
        <v>80</v>
      </c>
      <c r="J479" s="1">
        <f>+Table2[[#This Row],[Ventas]]/Table2[[#This Row],[Cantidad]]</f>
        <v>3630.6944444444443</v>
      </c>
      <c r="K479" s="1" t="str">
        <f>+_xlfn.IFS(Table2[[#This Row],[Ventas]]&gt;200000,"Alta", Table2[[#This Row],[Ventas]]&gt;100000,"Media",TRUE,"Bajo")</f>
        <v>Media</v>
      </c>
    </row>
    <row r="480" spans="1:11" x14ac:dyDescent="0.25">
      <c r="A480" s="1" t="s">
        <v>100</v>
      </c>
      <c r="B480" s="1" t="s">
        <v>135</v>
      </c>
      <c r="C480" s="1" t="s">
        <v>91</v>
      </c>
      <c r="D480" s="1" t="s">
        <v>9</v>
      </c>
      <c r="E480" s="2">
        <v>42216.457638888889</v>
      </c>
      <c r="F480" s="1" t="s">
        <v>6</v>
      </c>
      <c r="G480" s="1">
        <v>63869</v>
      </c>
      <c r="H480" s="1">
        <v>23</v>
      </c>
      <c r="I480" s="1" t="s">
        <v>80</v>
      </c>
      <c r="J480" s="1">
        <f>+Table2[[#This Row],[Ventas]]/Table2[[#This Row],[Cantidad]]</f>
        <v>2776.913043478261</v>
      </c>
      <c r="K480" s="1" t="str">
        <f>+_xlfn.IFS(Table2[[#This Row],[Ventas]]&gt;200000,"Alta", Table2[[#This Row],[Ventas]]&gt;100000,"Media",TRUE,"Bajo")</f>
        <v>Bajo</v>
      </c>
    </row>
    <row r="481" spans="1:11" x14ac:dyDescent="0.25">
      <c r="A481" s="1" t="s">
        <v>100</v>
      </c>
      <c r="B481" s="1" t="s">
        <v>113</v>
      </c>
      <c r="C481" s="1" t="s">
        <v>92</v>
      </c>
      <c r="D481" s="1" t="s">
        <v>5</v>
      </c>
      <c r="E481" s="2">
        <v>42186.457638888889</v>
      </c>
      <c r="F481" s="1" t="s">
        <v>7</v>
      </c>
      <c r="G481" s="1">
        <v>217999</v>
      </c>
      <c r="H481" s="1">
        <v>20</v>
      </c>
      <c r="I481" s="1" t="s">
        <v>79</v>
      </c>
      <c r="J481" s="1">
        <f>+Table2[[#This Row],[Ventas]]/Table2[[#This Row],[Cantidad]]</f>
        <v>10899.95</v>
      </c>
      <c r="K481" s="1" t="str">
        <f>+_xlfn.IFS(Table2[[#This Row],[Ventas]]&gt;200000,"Alta", Table2[[#This Row],[Ventas]]&gt;100000,"Media",TRUE,"Bajo")</f>
        <v>Alta</v>
      </c>
    </row>
    <row r="482" spans="1:11" x14ac:dyDescent="0.25">
      <c r="A482" s="1" t="s">
        <v>100</v>
      </c>
      <c r="B482" s="1" t="s">
        <v>123</v>
      </c>
      <c r="C482" s="1" t="s">
        <v>84</v>
      </c>
      <c r="D482" s="1" t="s">
        <v>5</v>
      </c>
      <c r="E482" s="2">
        <v>42186.457638888889</v>
      </c>
      <c r="F482" s="1" t="s">
        <v>6</v>
      </c>
      <c r="G482" s="1">
        <v>112107</v>
      </c>
      <c r="H482" s="1">
        <v>19</v>
      </c>
      <c r="I482" s="1" t="s">
        <v>79</v>
      </c>
      <c r="J482" s="1">
        <f>+Table2[[#This Row],[Ventas]]/Table2[[#This Row],[Cantidad]]</f>
        <v>5900.3684210526317</v>
      </c>
      <c r="K482" s="1" t="str">
        <f>+_xlfn.IFS(Table2[[#This Row],[Ventas]]&gt;200000,"Alta", Table2[[#This Row],[Ventas]]&gt;100000,"Media",TRUE,"Bajo")</f>
        <v>Media</v>
      </c>
    </row>
    <row r="483" spans="1:11" x14ac:dyDescent="0.25">
      <c r="A483" s="1" t="s">
        <v>100</v>
      </c>
      <c r="B483" s="1" t="s">
        <v>4</v>
      </c>
      <c r="C483" s="1" t="s">
        <v>92</v>
      </c>
      <c r="D483" s="1" t="s">
        <v>5</v>
      </c>
      <c r="E483" s="2">
        <v>42186.457638888889</v>
      </c>
      <c r="F483" s="1" t="s">
        <v>6</v>
      </c>
      <c r="G483" s="1">
        <v>172580</v>
      </c>
      <c r="H483" s="1">
        <v>24</v>
      </c>
      <c r="I483" s="1" t="s">
        <v>81</v>
      </c>
      <c r="J483" s="1">
        <f>+Table2[[#This Row],[Ventas]]/Table2[[#This Row],[Cantidad]]</f>
        <v>7190.833333333333</v>
      </c>
      <c r="K483" s="1" t="str">
        <f>+_xlfn.IFS(Table2[[#This Row],[Ventas]]&gt;200000,"Alta", Table2[[#This Row],[Ventas]]&gt;100000,"Media",TRUE,"Bajo")</f>
        <v>Media</v>
      </c>
    </row>
    <row r="484" spans="1:11" x14ac:dyDescent="0.25">
      <c r="A484" s="1" t="s">
        <v>100</v>
      </c>
      <c r="B484" s="1" t="s">
        <v>8</v>
      </c>
      <c r="C484" s="1" t="s">
        <v>91</v>
      </c>
      <c r="D484" s="1" t="s">
        <v>9</v>
      </c>
      <c r="E484" s="2">
        <v>42192.457638888889</v>
      </c>
      <c r="F484" s="1" t="s">
        <v>6</v>
      </c>
      <c r="G484" s="1">
        <v>189121</v>
      </c>
      <c r="H484" s="1">
        <v>22</v>
      </c>
      <c r="I484" s="1" t="s">
        <v>80</v>
      </c>
      <c r="J484" s="1">
        <f>+Table2[[#This Row],[Ventas]]/Table2[[#This Row],[Cantidad]]</f>
        <v>8596.4090909090901</v>
      </c>
      <c r="K484" s="1" t="str">
        <f>+_xlfn.IFS(Table2[[#This Row],[Ventas]]&gt;200000,"Alta", Table2[[#This Row],[Ventas]]&gt;100000,"Media",TRUE,"Bajo")</f>
        <v>Media</v>
      </c>
    </row>
    <row r="485" spans="1:11" x14ac:dyDescent="0.25">
      <c r="A485" s="1" t="s">
        <v>100</v>
      </c>
      <c r="B485" s="1" t="s">
        <v>140</v>
      </c>
      <c r="C485" s="1" t="s">
        <v>88</v>
      </c>
      <c r="D485" s="1" t="s">
        <v>9</v>
      </c>
      <c r="E485" s="2">
        <v>42186.457638888889</v>
      </c>
      <c r="F485" s="1" t="s">
        <v>6</v>
      </c>
      <c r="G485" s="1">
        <v>205308</v>
      </c>
      <c r="H485" s="1">
        <v>36</v>
      </c>
      <c r="I485" s="1" t="s">
        <v>79</v>
      </c>
      <c r="J485" s="1">
        <f>+Table2[[#This Row],[Ventas]]/Table2[[#This Row],[Cantidad]]</f>
        <v>5703</v>
      </c>
      <c r="K485" s="1" t="str">
        <f>+_xlfn.IFS(Table2[[#This Row],[Ventas]]&gt;200000,"Alta", Table2[[#This Row],[Ventas]]&gt;100000,"Media",TRUE,"Bajo")</f>
        <v>Alta</v>
      </c>
    </row>
    <row r="486" spans="1:11" x14ac:dyDescent="0.25">
      <c r="A486" s="1" t="s">
        <v>100</v>
      </c>
      <c r="B486" s="1" t="s">
        <v>144</v>
      </c>
      <c r="C486" s="1" t="s">
        <v>84</v>
      </c>
      <c r="D486" s="1" t="s">
        <v>5</v>
      </c>
      <c r="E486" s="2">
        <v>42186.457638888889</v>
      </c>
      <c r="F486" s="1" t="s">
        <v>12</v>
      </c>
      <c r="G486" s="1">
        <v>100256</v>
      </c>
      <c r="H486" s="1">
        <v>34</v>
      </c>
      <c r="I486" s="1" t="s">
        <v>79</v>
      </c>
      <c r="J486" s="1">
        <f>+Table2[[#This Row],[Ventas]]/Table2[[#This Row],[Cantidad]]</f>
        <v>2948.705882352941</v>
      </c>
      <c r="K486" s="1" t="str">
        <f>+_xlfn.IFS(Table2[[#This Row],[Ventas]]&gt;200000,"Alta", Table2[[#This Row],[Ventas]]&gt;100000,"Media",TRUE,"Bajo")</f>
        <v>Media</v>
      </c>
    </row>
    <row r="487" spans="1:11" x14ac:dyDescent="0.25">
      <c r="A487" s="1" t="s">
        <v>100</v>
      </c>
      <c r="B487" s="1" t="s">
        <v>127</v>
      </c>
      <c r="C487" s="1" t="s">
        <v>84</v>
      </c>
      <c r="D487" s="1" t="s">
        <v>5</v>
      </c>
      <c r="E487" s="2">
        <v>42202.457638888889</v>
      </c>
      <c r="F487" s="1" t="s">
        <v>6</v>
      </c>
      <c r="G487" s="1">
        <v>186159</v>
      </c>
      <c r="H487" s="1">
        <v>31</v>
      </c>
      <c r="I487" s="1" t="s">
        <v>79</v>
      </c>
      <c r="J487" s="1">
        <f>+Table2[[#This Row],[Ventas]]/Table2[[#This Row],[Cantidad]]</f>
        <v>6005.1290322580644</v>
      </c>
      <c r="K487" s="1" t="str">
        <f>+_xlfn.IFS(Table2[[#This Row],[Ventas]]&gt;200000,"Alta", Table2[[#This Row],[Ventas]]&gt;100000,"Media",TRUE,"Bajo")</f>
        <v>Media</v>
      </c>
    </row>
    <row r="488" spans="1:11" x14ac:dyDescent="0.25">
      <c r="A488" s="1" t="s">
        <v>100</v>
      </c>
      <c r="B488" s="1" t="s">
        <v>121</v>
      </c>
      <c r="C488" s="1" t="s">
        <v>92</v>
      </c>
      <c r="D488" s="1" t="s">
        <v>5</v>
      </c>
      <c r="E488" s="2">
        <v>42214.457638888889</v>
      </c>
      <c r="F488" s="1" t="s">
        <v>6</v>
      </c>
      <c r="G488" s="1">
        <v>212582</v>
      </c>
      <c r="H488" s="1">
        <v>39</v>
      </c>
      <c r="I488" s="1" t="s">
        <v>93</v>
      </c>
      <c r="J488" s="1">
        <f>+Table2[[#This Row],[Ventas]]/Table2[[#This Row],[Cantidad]]</f>
        <v>5450.8205128205127</v>
      </c>
      <c r="K488" s="1" t="str">
        <f>+_xlfn.IFS(Table2[[#This Row],[Ventas]]&gt;200000,"Alta", Table2[[#This Row],[Ventas]]&gt;100000,"Media",TRUE,"Bajo")</f>
        <v>Alta</v>
      </c>
    </row>
    <row r="489" spans="1:11" x14ac:dyDescent="0.25">
      <c r="A489" s="1" t="s">
        <v>100</v>
      </c>
      <c r="B489" s="1" t="s">
        <v>4</v>
      </c>
      <c r="C489" s="1" t="s">
        <v>92</v>
      </c>
      <c r="D489" s="1" t="s">
        <v>5</v>
      </c>
      <c r="E489" s="2">
        <v>42186.457638888889</v>
      </c>
      <c r="F489" s="1" t="s">
        <v>6</v>
      </c>
      <c r="G489" s="1">
        <v>225327</v>
      </c>
      <c r="H489" s="1">
        <v>20</v>
      </c>
      <c r="I489" s="1" t="s">
        <v>81</v>
      </c>
      <c r="J489" s="1">
        <f>+Table2[[#This Row],[Ventas]]/Table2[[#This Row],[Cantidad]]</f>
        <v>11266.35</v>
      </c>
      <c r="K489" s="1" t="str">
        <f>+_xlfn.IFS(Table2[[#This Row],[Ventas]]&gt;200000,"Alta", Table2[[#This Row],[Ventas]]&gt;100000,"Media",TRUE,"Bajo")</f>
        <v>Alta</v>
      </c>
    </row>
    <row r="490" spans="1:11" x14ac:dyDescent="0.25">
      <c r="A490" s="1" t="s">
        <v>100</v>
      </c>
      <c r="B490" s="1" t="s">
        <v>140</v>
      </c>
      <c r="C490" s="1" t="s">
        <v>88</v>
      </c>
      <c r="D490" s="1" t="s">
        <v>9</v>
      </c>
      <c r="E490" s="2">
        <v>42186.457638888889</v>
      </c>
      <c r="F490" s="1" t="s">
        <v>6</v>
      </c>
      <c r="G490" s="1">
        <v>237728</v>
      </c>
      <c r="H490" s="1">
        <v>24</v>
      </c>
      <c r="I490" s="1" t="s">
        <v>79</v>
      </c>
      <c r="J490" s="1">
        <f>+Table2[[#This Row],[Ventas]]/Table2[[#This Row],[Cantidad]]</f>
        <v>9905.3333333333339</v>
      </c>
      <c r="K490" s="1" t="str">
        <f>+_xlfn.IFS(Table2[[#This Row],[Ventas]]&gt;200000,"Alta", Table2[[#This Row],[Ventas]]&gt;100000,"Media",TRUE,"Bajo")</f>
        <v>Alta</v>
      </c>
    </row>
    <row r="491" spans="1:11" x14ac:dyDescent="0.25">
      <c r="A491" s="1" t="s">
        <v>100</v>
      </c>
      <c r="B491" s="1" t="s">
        <v>140</v>
      </c>
      <c r="C491" s="1" t="s">
        <v>88</v>
      </c>
      <c r="D491" s="1" t="s">
        <v>9</v>
      </c>
      <c r="E491" s="2">
        <v>42186.457638888889</v>
      </c>
      <c r="F491" s="1" t="s">
        <v>6</v>
      </c>
      <c r="G491" s="1">
        <v>248799</v>
      </c>
      <c r="H491" s="1">
        <v>37</v>
      </c>
      <c r="I491" s="1" t="s">
        <v>79</v>
      </c>
      <c r="J491" s="1">
        <f>+Table2[[#This Row],[Ventas]]/Table2[[#This Row],[Cantidad]]</f>
        <v>6724.2972972972975</v>
      </c>
      <c r="K491" s="1" t="str">
        <f>+_xlfn.IFS(Table2[[#This Row],[Ventas]]&gt;200000,"Alta", Table2[[#This Row],[Ventas]]&gt;100000,"Media",TRUE,"Bajo")</f>
        <v>Alta</v>
      </c>
    </row>
    <row r="492" spans="1:11" x14ac:dyDescent="0.25">
      <c r="A492" s="1" t="s">
        <v>100</v>
      </c>
      <c r="B492" s="1" t="s">
        <v>140</v>
      </c>
      <c r="C492" s="1" t="s">
        <v>88</v>
      </c>
      <c r="D492" s="1" t="s">
        <v>9</v>
      </c>
      <c r="E492" s="2">
        <v>42186.457638888889</v>
      </c>
      <c r="F492" s="1" t="s">
        <v>6</v>
      </c>
      <c r="G492" s="1">
        <v>54839</v>
      </c>
      <c r="H492" s="1">
        <v>24</v>
      </c>
      <c r="I492" s="1" t="s">
        <v>79</v>
      </c>
      <c r="J492" s="1">
        <f>+Table2[[#This Row],[Ventas]]/Table2[[#This Row],[Cantidad]]</f>
        <v>2284.9583333333335</v>
      </c>
      <c r="K492" s="1" t="str">
        <f>+_xlfn.IFS(Table2[[#This Row],[Ventas]]&gt;200000,"Alta", Table2[[#This Row],[Ventas]]&gt;100000,"Media",TRUE,"Bajo")</f>
        <v>Bajo</v>
      </c>
    </row>
    <row r="493" spans="1:11" x14ac:dyDescent="0.25">
      <c r="A493" s="1" t="s">
        <v>100</v>
      </c>
      <c r="B493" s="1" t="s">
        <v>113</v>
      </c>
      <c r="C493" s="1" t="s">
        <v>92</v>
      </c>
      <c r="D493" s="1" t="s">
        <v>5</v>
      </c>
      <c r="E493" s="2">
        <v>42186.457638888889</v>
      </c>
      <c r="F493" s="1" t="s">
        <v>7</v>
      </c>
      <c r="G493" s="1">
        <v>74764</v>
      </c>
      <c r="H493" s="1">
        <v>36</v>
      </c>
      <c r="I493" s="1" t="s">
        <v>79</v>
      </c>
      <c r="J493" s="1">
        <f>+Table2[[#This Row],[Ventas]]/Table2[[#This Row],[Cantidad]]</f>
        <v>2076.7777777777778</v>
      </c>
      <c r="K493" s="1" t="str">
        <f>+_xlfn.IFS(Table2[[#This Row],[Ventas]]&gt;200000,"Alta", Table2[[#This Row],[Ventas]]&gt;100000,"Media",TRUE,"Bajo")</f>
        <v>Bajo</v>
      </c>
    </row>
    <row r="494" spans="1:11" x14ac:dyDescent="0.25">
      <c r="A494" s="1" t="s">
        <v>100</v>
      </c>
      <c r="B494" s="1" t="s">
        <v>126</v>
      </c>
      <c r="C494" s="1" t="s">
        <v>91</v>
      </c>
      <c r="D494" s="1" t="s">
        <v>9</v>
      </c>
      <c r="E494" s="2">
        <v>42186.457638888889</v>
      </c>
      <c r="F494" s="1" t="s">
        <v>7</v>
      </c>
      <c r="G494" s="1">
        <v>126342</v>
      </c>
      <c r="H494" s="1">
        <v>30</v>
      </c>
      <c r="I494" s="1" t="s">
        <v>79</v>
      </c>
      <c r="J494" s="1">
        <f>+Table2[[#This Row],[Ventas]]/Table2[[#This Row],[Cantidad]]</f>
        <v>4211.3999999999996</v>
      </c>
      <c r="K494" s="1" t="str">
        <f>+_xlfn.IFS(Table2[[#This Row],[Ventas]]&gt;200000,"Alta", Table2[[#This Row],[Ventas]]&gt;100000,"Media",TRUE,"Bajo")</f>
        <v>Media</v>
      </c>
    </row>
    <row r="495" spans="1:11" x14ac:dyDescent="0.25">
      <c r="A495" s="1" t="s">
        <v>100</v>
      </c>
      <c r="B495" s="1" t="s">
        <v>126</v>
      </c>
      <c r="C495" s="1" t="s">
        <v>91</v>
      </c>
      <c r="D495" s="1" t="s">
        <v>9</v>
      </c>
      <c r="E495" s="2">
        <v>42186.457638888889</v>
      </c>
      <c r="F495" s="1" t="s">
        <v>7</v>
      </c>
      <c r="G495" s="1">
        <v>88626</v>
      </c>
      <c r="H495" s="1">
        <v>40</v>
      </c>
      <c r="I495" s="1" t="s">
        <v>81</v>
      </c>
      <c r="J495" s="1">
        <f>+Table2[[#This Row],[Ventas]]/Table2[[#This Row],[Cantidad]]</f>
        <v>2215.65</v>
      </c>
      <c r="K495" s="1" t="str">
        <f>+_xlfn.IFS(Table2[[#This Row],[Ventas]]&gt;200000,"Alta", Table2[[#This Row],[Ventas]]&gt;100000,"Media",TRUE,"Bajo")</f>
        <v>Bajo</v>
      </c>
    </row>
    <row r="496" spans="1:11" x14ac:dyDescent="0.25">
      <c r="A496" s="1" t="s">
        <v>100</v>
      </c>
      <c r="B496" s="1" t="s">
        <v>144</v>
      </c>
      <c r="C496" s="1" t="s">
        <v>84</v>
      </c>
      <c r="D496" s="1" t="s">
        <v>5</v>
      </c>
      <c r="E496" s="2">
        <v>42186.457638888889</v>
      </c>
      <c r="F496" s="1" t="s">
        <v>12</v>
      </c>
      <c r="G496" s="1">
        <v>105177</v>
      </c>
      <c r="H496" s="1">
        <v>30</v>
      </c>
      <c r="I496" s="1" t="s">
        <v>80</v>
      </c>
      <c r="J496" s="1">
        <f>+Table2[[#This Row],[Ventas]]/Table2[[#This Row],[Cantidad]]</f>
        <v>3505.9</v>
      </c>
      <c r="K496" s="1" t="str">
        <f>+_xlfn.IFS(Table2[[#This Row],[Ventas]]&gt;200000,"Alta", Table2[[#This Row],[Ventas]]&gt;100000,"Media",TRUE,"Bajo")</f>
        <v>Media</v>
      </c>
    </row>
    <row r="497" spans="1:11" x14ac:dyDescent="0.25">
      <c r="A497" s="1" t="s">
        <v>100</v>
      </c>
      <c r="B497" s="1" t="s">
        <v>144</v>
      </c>
      <c r="C497" s="1" t="s">
        <v>85</v>
      </c>
      <c r="D497" s="1" t="s">
        <v>5</v>
      </c>
      <c r="E497" s="2">
        <v>42186.457638888889</v>
      </c>
      <c r="F497" s="1" t="s">
        <v>12</v>
      </c>
      <c r="G497" s="1">
        <v>68975</v>
      </c>
      <c r="H497" s="1">
        <v>19</v>
      </c>
      <c r="I497" s="1" t="s">
        <v>81</v>
      </c>
      <c r="J497" s="1">
        <f>+Table2[[#This Row],[Ventas]]/Table2[[#This Row],[Cantidad]]</f>
        <v>3630.2631578947367</v>
      </c>
      <c r="K497" s="1" t="str">
        <f>+_xlfn.IFS(Table2[[#This Row],[Ventas]]&gt;200000,"Alta", Table2[[#This Row],[Ventas]]&gt;100000,"Media",TRUE,"Bajo")</f>
        <v>Bajo</v>
      </c>
    </row>
    <row r="498" spans="1:11" x14ac:dyDescent="0.25">
      <c r="A498" s="1" t="s">
        <v>100</v>
      </c>
      <c r="B498" s="1" t="s">
        <v>144</v>
      </c>
      <c r="C498" s="1" t="s">
        <v>85</v>
      </c>
      <c r="D498" s="1" t="s">
        <v>5</v>
      </c>
      <c r="E498" s="2">
        <v>42186.457638888889</v>
      </c>
      <c r="F498" s="1" t="s">
        <v>12</v>
      </c>
      <c r="G498" s="1">
        <v>74893</v>
      </c>
      <c r="H498" s="1">
        <v>27</v>
      </c>
      <c r="I498" s="1" t="s">
        <v>81</v>
      </c>
      <c r="J498" s="1">
        <f>+Table2[[#This Row],[Ventas]]/Table2[[#This Row],[Cantidad]]</f>
        <v>2773.8148148148148</v>
      </c>
      <c r="K498" s="1" t="str">
        <f>+_xlfn.IFS(Table2[[#This Row],[Ventas]]&gt;200000,"Alta", Table2[[#This Row],[Ventas]]&gt;100000,"Media",TRUE,"Bajo")</f>
        <v>Bajo</v>
      </c>
    </row>
    <row r="499" spans="1:11" x14ac:dyDescent="0.25">
      <c r="A499" s="1" t="s">
        <v>100</v>
      </c>
      <c r="B499" s="1" t="s">
        <v>144</v>
      </c>
      <c r="C499" s="1" t="s">
        <v>85</v>
      </c>
      <c r="D499" s="1" t="s">
        <v>5</v>
      </c>
      <c r="E499" s="2">
        <v>42186.457638888889</v>
      </c>
      <c r="F499" s="1" t="s">
        <v>6</v>
      </c>
      <c r="G499" s="1">
        <v>221558</v>
      </c>
      <c r="H499" s="1">
        <v>23</v>
      </c>
      <c r="I499" s="1" t="s">
        <v>81</v>
      </c>
      <c r="J499" s="1">
        <f>+Table2[[#This Row],[Ventas]]/Table2[[#This Row],[Cantidad]]</f>
        <v>9632.95652173913</v>
      </c>
      <c r="K499" s="1" t="str">
        <f>+_xlfn.IFS(Table2[[#This Row],[Ventas]]&gt;200000,"Alta", Table2[[#This Row],[Ventas]]&gt;100000,"Media",TRUE,"Bajo")</f>
        <v>Alta</v>
      </c>
    </row>
    <row r="500" spans="1:11" x14ac:dyDescent="0.25">
      <c r="A500" s="1" t="s">
        <v>100</v>
      </c>
      <c r="B500" s="1" t="s">
        <v>144</v>
      </c>
      <c r="C500" s="1" t="s">
        <v>85</v>
      </c>
      <c r="D500" s="1" t="s">
        <v>5</v>
      </c>
      <c r="E500" s="2">
        <v>42186.457638888889</v>
      </c>
      <c r="F500" s="1" t="s">
        <v>6</v>
      </c>
      <c r="G500" s="1">
        <v>216010</v>
      </c>
      <c r="H500" s="1">
        <v>18</v>
      </c>
      <c r="I500" s="1" t="s">
        <v>82</v>
      </c>
      <c r="J500" s="1">
        <f>+Table2[[#This Row],[Ventas]]/Table2[[#This Row],[Cantidad]]</f>
        <v>12000.555555555555</v>
      </c>
      <c r="K500" s="1" t="str">
        <f>+_xlfn.IFS(Table2[[#This Row],[Ventas]]&gt;200000,"Alta", Table2[[#This Row],[Ventas]]&gt;100000,"Media",TRUE,"Bajo")</f>
        <v>Alta</v>
      </c>
    </row>
    <row r="501" spans="1:11" x14ac:dyDescent="0.25">
      <c r="A501" s="1" t="s">
        <v>100</v>
      </c>
      <c r="B501" s="1" t="s">
        <v>135</v>
      </c>
      <c r="C501" s="1" t="s">
        <v>91</v>
      </c>
      <c r="D501" s="1" t="s">
        <v>9</v>
      </c>
      <c r="E501" s="2">
        <v>42216.457638888889</v>
      </c>
      <c r="F501" s="1" t="s">
        <v>6</v>
      </c>
      <c r="G501" s="1">
        <v>196310</v>
      </c>
      <c r="H501" s="1">
        <v>20</v>
      </c>
      <c r="I501" s="1" t="s">
        <v>81</v>
      </c>
      <c r="J501" s="1">
        <f>+Table2[[#This Row],[Ventas]]/Table2[[#This Row],[Cantidad]]</f>
        <v>9815.5</v>
      </c>
      <c r="K501" s="1" t="str">
        <f>+_xlfn.IFS(Table2[[#This Row],[Ventas]]&gt;200000,"Alta", Table2[[#This Row],[Ventas]]&gt;100000,"Media",TRUE,"Bajo")</f>
        <v>Media</v>
      </c>
    </row>
    <row r="502" spans="1:11" x14ac:dyDescent="0.25">
      <c r="A502" s="1" t="s">
        <v>100</v>
      </c>
      <c r="B502" s="1" t="s">
        <v>146</v>
      </c>
      <c r="C502" s="1" t="s">
        <v>88</v>
      </c>
      <c r="D502" s="1" t="s">
        <v>9</v>
      </c>
      <c r="E502" s="2">
        <v>42216.457638888889</v>
      </c>
      <c r="F502" s="1" t="s">
        <v>6</v>
      </c>
      <c r="G502" s="1">
        <v>202612</v>
      </c>
      <c r="H502" s="1">
        <v>30</v>
      </c>
      <c r="I502" s="1" t="s">
        <v>80</v>
      </c>
      <c r="J502" s="1">
        <f>+Table2[[#This Row],[Ventas]]/Table2[[#This Row],[Cantidad]]</f>
        <v>6753.7333333333336</v>
      </c>
      <c r="K502" s="1" t="str">
        <f>+_xlfn.IFS(Table2[[#This Row],[Ventas]]&gt;200000,"Alta", Table2[[#This Row],[Ventas]]&gt;100000,"Media",TRUE,"Bajo")</f>
        <v>Alta</v>
      </c>
    </row>
    <row r="503" spans="1:11" x14ac:dyDescent="0.25">
      <c r="A503" s="1" t="s">
        <v>100</v>
      </c>
      <c r="B503" s="1" t="s">
        <v>8</v>
      </c>
      <c r="C503" s="1" t="s">
        <v>91</v>
      </c>
      <c r="D503" s="1" t="s">
        <v>9</v>
      </c>
      <c r="E503" s="2">
        <v>42192.457638888889</v>
      </c>
      <c r="F503" s="1" t="s">
        <v>6</v>
      </c>
      <c r="G503" s="1">
        <v>175336</v>
      </c>
      <c r="H503" s="1">
        <v>20</v>
      </c>
      <c r="I503" s="1" t="s">
        <v>80</v>
      </c>
      <c r="J503" s="1">
        <f>+Table2[[#This Row],[Ventas]]/Table2[[#This Row],[Cantidad]]</f>
        <v>8766.7999999999993</v>
      </c>
      <c r="K503" s="1" t="str">
        <f>+_xlfn.IFS(Table2[[#This Row],[Ventas]]&gt;200000,"Alta", Table2[[#This Row],[Ventas]]&gt;100000,"Media",TRUE,"Bajo")</f>
        <v>Media</v>
      </c>
    </row>
    <row r="504" spans="1:11" x14ac:dyDescent="0.25">
      <c r="A504" s="1" t="s">
        <v>100</v>
      </c>
      <c r="B504" s="1" t="s">
        <v>140</v>
      </c>
      <c r="C504" s="1" t="s">
        <v>88</v>
      </c>
      <c r="D504" s="1" t="s">
        <v>9</v>
      </c>
      <c r="E504" s="2">
        <v>42186.457638888889</v>
      </c>
      <c r="F504" s="1" t="s">
        <v>6</v>
      </c>
      <c r="G504" s="1">
        <v>239186</v>
      </c>
      <c r="H504" s="1">
        <v>36</v>
      </c>
      <c r="I504" s="1" t="s">
        <v>81</v>
      </c>
      <c r="J504" s="1">
        <f>+Table2[[#This Row],[Ventas]]/Table2[[#This Row],[Cantidad]]</f>
        <v>6644.0555555555557</v>
      </c>
      <c r="K504" s="1" t="str">
        <f>+_xlfn.IFS(Table2[[#This Row],[Ventas]]&gt;200000,"Alta", Table2[[#This Row],[Ventas]]&gt;100000,"Media",TRUE,"Bajo")</f>
        <v>Alta</v>
      </c>
    </row>
    <row r="505" spans="1:11" x14ac:dyDescent="0.25">
      <c r="A505" s="1" t="s">
        <v>100</v>
      </c>
      <c r="B505" s="1" t="s">
        <v>140</v>
      </c>
      <c r="C505" s="1" t="s">
        <v>88</v>
      </c>
      <c r="D505" s="1" t="s">
        <v>9</v>
      </c>
      <c r="E505" s="2">
        <v>42186.457638888889</v>
      </c>
      <c r="F505" s="1" t="s">
        <v>6</v>
      </c>
      <c r="G505" s="1">
        <v>144214</v>
      </c>
      <c r="H505" s="1">
        <v>32</v>
      </c>
      <c r="I505" s="1" t="s">
        <v>81</v>
      </c>
      <c r="J505" s="1">
        <f>+Table2[[#This Row],[Ventas]]/Table2[[#This Row],[Cantidad]]</f>
        <v>4506.6875</v>
      </c>
      <c r="K505" s="1" t="str">
        <f>+_xlfn.IFS(Table2[[#This Row],[Ventas]]&gt;200000,"Alta", Table2[[#This Row],[Ventas]]&gt;100000,"Media",TRUE,"Bajo")</f>
        <v>Media</v>
      </c>
    </row>
    <row r="506" spans="1:11" x14ac:dyDescent="0.25">
      <c r="A506" s="1" t="s">
        <v>100</v>
      </c>
      <c r="B506" s="1" t="s">
        <v>126</v>
      </c>
      <c r="C506" s="1" t="s">
        <v>91</v>
      </c>
      <c r="D506" s="1" t="s">
        <v>9</v>
      </c>
      <c r="E506" s="2">
        <v>42186.457638888889</v>
      </c>
      <c r="F506" s="1" t="s">
        <v>7</v>
      </c>
      <c r="G506" s="1">
        <v>147718</v>
      </c>
      <c r="H506" s="1">
        <v>20</v>
      </c>
      <c r="I506" s="1" t="s">
        <v>82</v>
      </c>
      <c r="J506" s="1">
        <f>+Table2[[#This Row],[Ventas]]/Table2[[#This Row],[Cantidad]]</f>
        <v>7385.9</v>
      </c>
      <c r="K506" s="1" t="str">
        <f>+_xlfn.IFS(Table2[[#This Row],[Ventas]]&gt;200000,"Alta", Table2[[#This Row],[Ventas]]&gt;100000,"Media",TRUE,"Bajo")</f>
        <v>Media</v>
      </c>
    </row>
    <row r="507" spans="1:11" x14ac:dyDescent="0.25">
      <c r="A507" s="1" t="s">
        <v>100</v>
      </c>
      <c r="B507" s="1" t="s">
        <v>144</v>
      </c>
      <c r="C507" s="1" t="s">
        <v>84</v>
      </c>
      <c r="D507" s="1" t="s">
        <v>5</v>
      </c>
      <c r="E507" s="2">
        <v>42186.457638888889</v>
      </c>
      <c r="F507" s="1" t="s">
        <v>12</v>
      </c>
      <c r="G507" s="1">
        <v>145824</v>
      </c>
      <c r="H507" s="1">
        <v>24</v>
      </c>
      <c r="I507" s="1" t="s">
        <v>79</v>
      </c>
      <c r="J507" s="1">
        <f>+Table2[[#This Row],[Ventas]]/Table2[[#This Row],[Cantidad]]</f>
        <v>6076</v>
      </c>
      <c r="K507" s="1" t="str">
        <f>+_xlfn.IFS(Table2[[#This Row],[Ventas]]&gt;200000,"Alta", Table2[[#This Row],[Ventas]]&gt;100000,"Media",TRUE,"Bajo")</f>
        <v>Media</v>
      </c>
    </row>
    <row r="508" spans="1:11" x14ac:dyDescent="0.25">
      <c r="A508" s="1" t="s">
        <v>100</v>
      </c>
      <c r="B508" s="1" t="s">
        <v>144</v>
      </c>
      <c r="C508" s="1" t="s">
        <v>84</v>
      </c>
      <c r="D508" s="1" t="s">
        <v>5</v>
      </c>
      <c r="E508" s="2">
        <v>42186.457638888889</v>
      </c>
      <c r="F508" s="1" t="s">
        <v>12</v>
      </c>
      <c r="G508" s="1">
        <v>180434</v>
      </c>
      <c r="H508" s="1">
        <v>37</v>
      </c>
      <c r="I508" s="1" t="s">
        <v>80</v>
      </c>
      <c r="J508" s="1">
        <f>+Table2[[#This Row],[Ventas]]/Table2[[#This Row],[Cantidad]]</f>
        <v>4876.594594594595</v>
      </c>
      <c r="K508" s="1" t="str">
        <f>+_xlfn.IFS(Table2[[#This Row],[Ventas]]&gt;200000,"Alta", Table2[[#This Row],[Ventas]]&gt;100000,"Media",TRUE,"Bajo")</f>
        <v>Media</v>
      </c>
    </row>
    <row r="509" spans="1:11" x14ac:dyDescent="0.25">
      <c r="A509" s="1" t="s">
        <v>101</v>
      </c>
      <c r="B509" s="1" t="s">
        <v>144</v>
      </c>
      <c r="C509" s="1" t="s">
        <v>85</v>
      </c>
      <c r="D509" s="1" t="s">
        <v>5</v>
      </c>
      <c r="E509" s="2">
        <v>42186.457638888889</v>
      </c>
      <c r="F509" s="1" t="s">
        <v>12</v>
      </c>
      <c r="G509" s="1">
        <v>198973</v>
      </c>
      <c r="H509" s="1">
        <v>17</v>
      </c>
      <c r="I509" s="1" t="s">
        <v>81</v>
      </c>
      <c r="J509" s="1">
        <f>+Table2[[#This Row],[Ventas]]/Table2[[#This Row],[Cantidad]]</f>
        <v>11704.294117647059</v>
      </c>
      <c r="K509" s="1" t="str">
        <f>+_xlfn.IFS(Table2[[#This Row],[Ventas]]&gt;200000,"Alta", Table2[[#This Row],[Ventas]]&gt;100000,"Media",TRUE,"Bajo")</f>
        <v>Media</v>
      </c>
    </row>
    <row r="510" spans="1:11" x14ac:dyDescent="0.25">
      <c r="A510" s="1" t="s">
        <v>101</v>
      </c>
      <c r="B510" s="1" t="s">
        <v>144</v>
      </c>
      <c r="C510" s="1" t="s">
        <v>85</v>
      </c>
      <c r="D510" s="1" t="s">
        <v>5</v>
      </c>
      <c r="E510" s="2">
        <v>42186.457638888889</v>
      </c>
      <c r="F510" s="1" t="s">
        <v>12</v>
      </c>
      <c r="G510" s="1">
        <v>137715</v>
      </c>
      <c r="H510" s="1">
        <v>35</v>
      </c>
      <c r="I510" s="1" t="s">
        <v>81</v>
      </c>
      <c r="J510" s="1">
        <f>+Table2[[#This Row],[Ventas]]/Table2[[#This Row],[Cantidad]]</f>
        <v>3934.7142857142858</v>
      </c>
      <c r="K510" s="1" t="str">
        <f>+_xlfn.IFS(Table2[[#This Row],[Ventas]]&gt;200000,"Alta", Table2[[#This Row],[Ventas]]&gt;100000,"Media",TRUE,"Bajo")</f>
        <v>Media</v>
      </c>
    </row>
    <row r="511" spans="1:11" x14ac:dyDescent="0.25">
      <c r="A511" s="1" t="s">
        <v>101</v>
      </c>
      <c r="B511" s="1" t="s">
        <v>127</v>
      </c>
      <c r="C511" s="1" t="s">
        <v>84</v>
      </c>
      <c r="D511" s="1" t="s">
        <v>5</v>
      </c>
      <c r="E511" s="2">
        <v>42202.457638888889</v>
      </c>
      <c r="F511" s="1" t="s">
        <v>6</v>
      </c>
      <c r="G511" s="1">
        <v>96022</v>
      </c>
      <c r="H511" s="1">
        <v>15</v>
      </c>
      <c r="I511" s="1" t="s">
        <v>79</v>
      </c>
      <c r="J511" s="1">
        <f>+Table2[[#This Row],[Ventas]]/Table2[[#This Row],[Cantidad]]</f>
        <v>6401.4666666666662</v>
      </c>
      <c r="K511" s="1" t="str">
        <f>+_xlfn.IFS(Table2[[#This Row],[Ventas]]&gt;200000,"Alta", Table2[[#This Row],[Ventas]]&gt;100000,"Media",TRUE,"Bajo")</f>
        <v>Bajo</v>
      </c>
    </row>
    <row r="512" spans="1:11" x14ac:dyDescent="0.25">
      <c r="A512" s="1" t="s">
        <v>101</v>
      </c>
      <c r="B512" s="1" t="s">
        <v>123</v>
      </c>
      <c r="C512" s="1" t="s">
        <v>84</v>
      </c>
      <c r="D512" s="1" t="s">
        <v>5</v>
      </c>
      <c r="E512" s="2">
        <v>42186.457638888889</v>
      </c>
      <c r="F512" s="1" t="s">
        <v>6</v>
      </c>
      <c r="G512" s="1">
        <v>206455</v>
      </c>
      <c r="H512" s="1">
        <v>24</v>
      </c>
      <c r="I512" s="1" t="s">
        <v>81</v>
      </c>
      <c r="J512" s="1">
        <f>+Table2[[#This Row],[Ventas]]/Table2[[#This Row],[Cantidad]]</f>
        <v>8602.2916666666661</v>
      </c>
      <c r="K512" s="1" t="str">
        <f>+_xlfn.IFS(Table2[[#This Row],[Ventas]]&gt;200000,"Alta", Table2[[#This Row],[Ventas]]&gt;100000,"Media",TRUE,"Bajo")</f>
        <v>Alta</v>
      </c>
    </row>
    <row r="513" spans="1:11" x14ac:dyDescent="0.25">
      <c r="A513" s="1" t="s">
        <v>101</v>
      </c>
      <c r="B513" s="1" t="s">
        <v>123</v>
      </c>
      <c r="C513" s="1" t="s">
        <v>84</v>
      </c>
      <c r="D513" s="1" t="s">
        <v>5</v>
      </c>
      <c r="E513" s="2">
        <v>42186.457638888889</v>
      </c>
      <c r="F513" s="1" t="s">
        <v>6</v>
      </c>
      <c r="G513" s="1">
        <v>197883</v>
      </c>
      <c r="H513" s="1">
        <v>42</v>
      </c>
      <c r="I513" s="1" t="s">
        <v>79</v>
      </c>
      <c r="J513" s="1">
        <f>+Table2[[#This Row],[Ventas]]/Table2[[#This Row],[Cantidad]]</f>
        <v>4711.5</v>
      </c>
      <c r="K513" s="1" t="str">
        <f>+_xlfn.IFS(Table2[[#This Row],[Ventas]]&gt;200000,"Alta", Table2[[#This Row],[Ventas]]&gt;100000,"Media",TRUE,"Bajo")</f>
        <v>Media</v>
      </c>
    </row>
    <row r="514" spans="1:11" x14ac:dyDescent="0.25">
      <c r="A514" s="1" t="s">
        <v>101</v>
      </c>
      <c r="B514" s="1" t="s">
        <v>123</v>
      </c>
      <c r="C514" s="1" t="s">
        <v>84</v>
      </c>
      <c r="D514" s="1" t="s">
        <v>5</v>
      </c>
      <c r="E514" s="2">
        <v>42186.457638888889</v>
      </c>
      <c r="F514" s="1" t="s">
        <v>6</v>
      </c>
      <c r="G514" s="1">
        <v>132610</v>
      </c>
      <c r="H514" s="1">
        <v>15</v>
      </c>
      <c r="I514" s="1" t="s">
        <v>80</v>
      </c>
      <c r="J514" s="1">
        <f>+Table2[[#This Row],[Ventas]]/Table2[[#This Row],[Cantidad]]</f>
        <v>8840.6666666666661</v>
      </c>
      <c r="K514" s="1" t="str">
        <f>+_xlfn.IFS(Table2[[#This Row],[Ventas]]&gt;200000,"Alta", Table2[[#This Row],[Ventas]]&gt;100000,"Media",TRUE,"Bajo")</f>
        <v>Media</v>
      </c>
    </row>
    <row r="515" spans="1:11" x14ac:dyDescent="0.25">
      <c r="A515" s="1" t="s">
        <v>101</v>
      </c>
      <c r="B515" s="1" t="s">
        <v>123</v>
      </c>
      <c r="C515" s="1" t="s">
        <v>84</v>
      </c>
      <c r="D515" s="1" t="s">
        <v>5</v>
      </c>
      <c r="E515" s="2">
        <v>42186.457638888889</v>
      </c>
      <c r="F515" s="1" t="s">
        <v>6</v>
      </c>
      <c r="G515" s="1">
        <v>83888</v>
      </c>
      <c r="H515" s="1">
        <v>27</v>
      </c>
      <c r="I515" s="1" t="s">
        <v>79</v>
      </c>
      <c r="J515" s="1">
        <f>+Table2[[#This Row],[Ventas]]/Table2[[#This Row],[Cantidad]]</f>
        <v>3106.962962962963</v>
      </c>
      <c r="K515" s="1" t="str">
        <f>+_xlfn.IFS(Table2[[#This Row],[Ventas]]&gt;200000,"Alta", Table2[[#This Row],[Ventas]]&gt;100000,"Media",TRUE,"Bajo")</f>
        <v>Bajo</v>
      </c>
    </row>
    <row r="516" spans="1:11" x14ac:dyDescent="0.25">
      <c r="A516" s="1" t="s">
        <v>101</v>
      </c>
      <c r="B516" s="1" t="s">
        <v>113</v>
      </c>
      <c r="C516" s="1" t="s">
        <v>92</v>
      </c>
      <c r="D516" s="1" t="s">
        <v>5</v>
      </c>
      <c r="E516" s="2">
        <v>42195.457638888889</v>
      </c>
      <c r="F516" s="1" t="s">
        <v>7</v>
      </c>
      <c r="G516" s="1">
        <v>129446</v>
      </c>
      <c r="H516" s="1">
        <v>34</v>
      </c>
      <c r="I516" s="1" t="s">
        <v>80</v>
      </c>
      <c r="J516" s="1">
        <f>+Table2[[#This Row],[Ventas]]/Table2[[#This Row],[Cantidad]]</f>
        <v>3807.2352941176468</v>
      </c>
      <c r="K516" s="1" t="str">
        <f>+_xlfn.IFS(Table2[[#This Row],[Ventas]]&gt;200000,"Alta", Table2[[#This Row],[Ventas]]&gt;100000,"Media",TRUE,"Bajo")</f>
        <v>Media</v>
      </c>
    </row>
    <row r="517" spans="1:11" x14ac:dyDescent="0.25">
      <c r="A517" s="1" t="s">
        <v>101</v>
      </c>
      <c r="B517" s="1" t="s">
        <v>52</v>
      </c>
      <c r="C517" s="1" t="s">
        <v>91</v>
      </c>
      <c r="D517" s="1" t="s">
        <v>9</v>
      </c>
      <c r="E517" s="2">
        <v>42216.457638888889</v>
      </c>
      <c r="F517" s="1" t="s">
        <v>6</v>
      </c>
      <c r="G517" s="1">
        <v>125832</v>
      </c>
      <c r="H517" s="1">
        <v>31</v>
      </c>
      <c r="I517" s="1" t="s">
        <v>79</v>
      </c>
      <c r="J517" s="1">
        <f>+Table2[[#This Row],[Ventas]]/Table2[[#This Row],[Cantidad]]</f>
        <v>4059.0967741935483</v>
      </c>
      <c r="K517" s="1" t="str">
        <f>+_xlfn.IFS(Table2[[#This Row],[Ventas]]&gt;200000,"Alta", Table2[[#This Row],[Ventas]]&gt;100000,"Media",TRUE,"Bajo")</f>
        <v>Media</v>
      </c>
    </row>
    <row r="518" spans="1:11" x14ac:dyDescent="0.25">
      <c r="A518" s="1" t="s">
        <v>101</v>
      </c>
      <c r="B518" s="1" t="s">
        <v>147</v>
      </c>
      <c r="C518" s="1" t="s">
        <v>91</v>
      </c>
      <c r="D518" s="1" t="s">
        <v>9</v>
      </c>
      <c r="E518" s="2">
        <v>42186.457638888889</v>
      </c>
      <c r="F518" s="1" t="s">
        <v>7</v>
      </c>
      <c r="G518" s="1">
        <v>211102</v>
      </c>
      <c r="H518" s="1">
        <v>20</v>
      </c>
      <c r="I518" s="1" t="s">
        <v>80</v>
      </c>
      <c r="J518" s="1">
        <f>+Table2[[#This Row],[Ventas]]/Table2[[#This Row],[Cantidad]]</f>
        <v>10555.1</v>
      </c>
      <c r="K518" s="1" t="str">
        <f>+_xlfn.IFS(Table2[[#This Row],[Ventas]]&gt;200000,"Alta", Table2[[#This Row],[Ventas]]&gt;100000,"Media",TRUE,"Bajo")</f>
        <v>Alta</v>
      </c>
    </row>
    <row r="519" spans="1:11" x14ac:dyDescent="0.25">
      <c r="A519" s="1" t="s">
        <v>101</v>
      </c>
      <c r="B519" s="1" t="s">
        <v>49</v>
      </c>
      <c r="C519" s="1" t="s">
        <v>87</v>
      </c>
      <c r="D519" s="1" t="s">
        <v>9</v>
      </c>
      <c r="E519" s="2">
        <v>42212.457638888889</v>
      </c>
      <c r="F519" s="1" t="s">
        <v>6</v>
      </c>
      <c r="G519" s="1">
        <v>239663</v>
      </c>
      <c r="H519" s="1">
        <v>21</v>
      </c>
      <c r="I519" s="1" t="s">
        <v>80</v>
      </c>
      <c r="J519" s="1">
        <f>+Table2[[#This Row],[Ventas]]/Table2[[#This Row],[Cantidad]]</f>
        <v>11412.523809523809</v>
      </c>
      <c r="K519" s="1" t="str">
        <f>+_xlfn.IFS(Table2[[#This Row],[Ventas]]&gt;200000,"Alta", Table2[[#This Row],[Ventas]]&gt;100000,"Media",TRUE,"Bajo")</f>
        <v>Alta</v>
      </c>
    </row>
    <row r="520" spans="1:11" x14ac:dyDescent="0.25">
      <c r="A520" s="1" t="s">
        <v>101</v>
      </c>
      <c r="B520" s="1" t="s">
        <v>140</v>
      </c>
      <c r="C520" s="1" t="s">
        <v>88</v>
      </c>
      <c r="D520" s="1" t="s">
        <v>9</v>
      </c>
      <c r="E520" s="2">
        <v>42186.457638888889</v>
      </c>
      <c r="F520" s="1" t="s">
        <v>6</v>
      </c>
      <c r="G520" s="1">
        <v>247680</v>
      </c>
      <c r="H520" s="1">
        <v>33</v>
      </c>
      <c r="I520" s="1" t="s">
        <v>81</v>
      </c>
      <c r="J520" s="1">
        <f>+Table2[[#This Row],[Ventas]]/Table2[[#This Row],[Cantidad]]</f>
        <v>7505.454545454545</v>
      </c>
      <c r="K520" s="1" t="str">
        <f>+_xlfn.IFS(Table2[[#This Row],[Ventas]]&gt;200000,"Alta", Table2[[#This Row],[Ventas]]&gt;100000,"Media",TRUE,"Bajo")</f>
        <v>Alta</v>
      </c>
    </row>
    <row r="521" spans="1:11" x14ac:dyDescent="0.25">
      <c r="A521" s="1" t="s">
        <v>101</v>
      </c>
      <c r="B521" s="1" t="s">
        <v>144</v>
      </c>
      <c r="C521" s="1" t="s">
        <v>84</v>
      </c>
      <c r="D521" s="1" t="s">
        <v>5</v>
      </c>
      <c r="E521" s="2">
        <v>42186.457638888889</v>
      </c>
      <c r="F521" s="1" t="s">
        <v>12</v>
      </c>
      <c r="G521" s="1">
        <v>102106</v>
      </c>
      <c r="H521" s="1">
        <v>17</v>
      </c>
      <c r="I521" s="1" t="s">
        <v>79</v>
      </c>
      <c r="J521" s="1">
        <f>+Table2[[#This Row],[Ventas]]/Table2[[#This Row],[Cantidad]]</f>
        <v>6006.2352941176468</v>
      </c>
      <c r="K521" s="1" t="str">
        <f>+_xlfn.IFS(Table2[[#This Row],[Ventas]]&gt;200000,"Alta", Table2[[#This Row],[Ventas]]&gt;100000,"Media",TRUE,"Bajo")</f>
        <v>Media</v>
      </c>
    </row>
    <row r="522" spans="1:11" x14ac:dyDescent="0.25">
      <c r="A522" s="1" t="s">
        <v>101</v>
      </c>
      <c r="B522" s="1" t="s">
        <v>144</v>
      </c>
      <c r="C522" s="1" t="s">
        <v>84</v>
      </c>
      <c r="D522" s="1" t="s">
        <v>5</v>
      </c>
      <c r="E522" s="2">
        <v>42186.457638888889</v>
      </c>
      <c r="F522" s="1" t="s">
        <v>12</v>
      </c>
      <c r="G522" s="1">
        <v>125635</v>
      </c>
      <c r="H522" s="1">
        <v>22</v>
      </c>
      <c r="I522" s="1" t="s">
        <v>79</v>
      </c>
      <c r="J522" s="1">
        <f>+Table2[[#This Row],[Ventas]]/Table2[[#This Row],[Cantidad]]</f>
        <v>5710.681818181818</v>
      </c>
      <c r="K522" s="1" t="str">
        <f>+_xlfn.IFS(Table2[[#This Row],[Ventas]]&gt;200000,"Alta", Table2[[#This Row],[Ventas]]&gt;100000,"Media",TRUE,"Bajo")</f>
        <v>Media</v>
      </c>
    </row>
    <row r="523" spans="1:11" x14ac:dyDescent="0.25">
      <c r="A523" s="1" t="s">
        <v>101</v>
      </c>
      <c r="B523" s="1" t="s">
        <v>129</v>
      </c>
      <c r="C523" s="1" t="s">
        <v>91</v>
      </c>
      <c r="D523" s="1" t="s">
        <v>9</v>
      </c>
      <c r="E523" s="2">
        <v>42207.457638888889</v>
      </c>
      <c r="F523" s="1" t="s">
        <v>7</v>
      </c>
      <c r="G523" s="1">
        <v>116106</v>
      </c>
      <c r="H523" s="1">
        <v>33</v>
      </c>
      <c r="I523" s="1" t="s">
        <v>80</v>
      </c>
      <c r="J523" s="1">
        <f>+Table2[[#This Row],[Ventas]]/Table2[[#This Row],[Cantidad]]</f>
        <v>3518.3636363636365</v>
      </c>
      <c r="K523" s="1" t="str">
        <f>+_xlfn.IFS(Table2[[#This Row],[Ventas]]&gt;200000,"Alta", Table2[[#This Row],[Ventas]]&gt;100000,"Media",TRUE,"Bajo")</f>
        <v>Media</v>
      </c>
    </row>
    <row r="524" spans="1:11" x14ac:dyDescent="0.25">
      <c r="A524" s="1" t="s">
        <v>101</v>
      </c>
      <c r="B524" s="1" t="s">
        <v>127</v>
      </c>
      <c r="C524" s="1" t="s">
        <v>84</v>
      </c>
      <c r="D524" s="1" t="s">
        <v>5</v>
      </c>
      <c r="E524" s="2">
        <v>42202.457638888889</v>
      </c>
      <c r="F524" s="1" t="s">
        <v>6</v>
      </c>
      <c r="G524" s="1">
        <v>224521</v>
      </c>
      <c r="H524" s="1">
        <v>21</v>
      </c>
      <c r="I524" s="1" t="s">
        <v>81</v>
      </c>
      <c r="J524" s="1">
        <f>+Table2[[#This Row],[Ventas]]/Table2[[#This Row],[Cantidad]]</f>
        <v>10691.476190476191</v>
      </c>
      <c r="K524" s="1" t="str">
        <f>+_xlfn.IFS(Table2[[#This Row],[Ventas]]&gt;200000,"Alta", Table2[[#This Row],[Ventas]]&gt;100000,"Media",TRUE,"Bajo")</f>
        <v>Alta</v>
      </c>
    </row>
    <row r="525" spans="1:11" x14ac:dyDescent="0.25">
      <c r="A525" s="1" t="s">
        <v>101</v>
      </c>
      <c r="B525" s="1" t="s">
        <v>32</v>
      </c>
      <c r="C525" s="1" t="s">
        <v>84</v>
      </c>
      <c r="D525" s="1" t="s">
        <v>5</v>
      </c>
      <c r="E525" s="2">
        <v>42195.457638888889</v>
      </c>
      <c r="F525" s="1" t="s">
        <v>7</v>
      </c>
      <c r="G525" s="1">
        <v>111663</v>
      </c>
      <c r="H525" s="1">
        <v>40</v>
      </c>
      <c r="I525" s="1" t="s">
        <v>80</v>
      </c>
      <c r="J525" s="1">
        <f>+Table2[[#This Row],[Ventas]]/Table2[[#This Row],[Cantidad]]</f>
        <v>2791.5749999999998</v>
      </c>
      <c r="K525" s="1" t="str">
        <f>+_xlfn.IFS(Table2[[#This Row],[Ventas]]&gt;200000,"Alta", Table2[[#This Row],[Ventas]]&gt;100000,"Media",TRUE,"Bajo")</f>
        <v>Media</v>
      </c>
    </row>
    <row r="526" spans="1:11" x14ac:dyDescent="0.25">
      <c r="A526" s="1" t="s">
        <v>101</v>
      </c>
      <c r="B526" s="1" t="s">
        <v>144</v>
      </c>
      <c r="C526" s="1" t="s">
        <v>85</v>
      </c>
      <c r="D526" s="1" t="s">
        <v>5</v>
      </c>
      <c r="E526" s="2">
        <v>42186.457638888889</v>
      </c>
      <c r="F526" s="1" t="s">
        <v>6</v>
      </c>
      <c r="G526" s="1">
        <v>150575</v>
      </c>
      <c r="H526" s="1">
        <v>35</v>
      </c>
      <c r="I526" s="1" t="s">
        <v>82</v>
      </c>
      <c r="J526" s="1">
        <f>+Table2[[#This Row],[Ventas]]/Table2[[#This Row],[Cantidad]]</f>
        <v>4302.1428571428569</v>
      </c>
      <c r="K526" s="1" t="str">
        <f>+_xlfn.IFS(Table2[[#This Row],[Ventas]]&gt;200000,"Alta", Table2[[#This Row],[Ventas]]&gt;100000,"Media",TRUE,"Bajo")</f>
        <v>Media</v>
      </c>
    </row>
    <row r="527" spans="1:11" x14ac:dyDescent="0.25">
      <c r="A527" s="1" t="s">
        <v>101</v>
      </c>
      <c r="B527" s="1" t="s">
        <v>140</v>
      </c>
      <c r="C527" s="1" t="s">
        <v>88</v>
      </c>
      <c r="D527" s="1" t="s">
        <v>9</v>
      </c>
      <c r="E527" s="2">
        <v>42186.457638888889</v>
      </c>
      <c r="F527" s="1" t="s">
        <v>6</v>
      </c>
      <c r="G527" s="1">
        <v>148445</v>
      </c>
      <c r="H527" s="1">
        <v>41</v>
      </c>
      <c r="I527" s="1" t="s">
        <v>81</v>
      </c>
      <c r="J527" s="1">
        <f>+Table2[[#This Row],[Ventas]]/Table2[[#This Row],[Cantidad]]</f>
        <v>3620.6097560975609</v>
      </c>
      <c r="K527" s="1" t="str">
        <f>+_xlfn.IFS(Table2[[#This Row],[Ventas]]&gt;200000,"Alta", Table2[[#This Row],[Ventas]]&gt;100000,"Media",TRUE,"Bajo")</f>
        <v>Media</v>
      </c>
    </row>
    <row r="528" spans="1:11" x14ac:dyDescent="0.25">
      <c r="A528" s="1" t="s">
        <v>101</v>
      </c>
      <c r="B528" s="1" t="s">
        <v>140</v>
      </c>
      <c r="C528" s="1" t="s">
        <v>88</v>
      </c>
      <c r="D528" s="1" t="s">
        <v>9</v>
      </c>
      <c r="E528" s="2">
        <v>42186.457638888889</v>
      </c>
      <c r="F528" s="1" t="s">
        <v>6</v>
      </c>
      <c r="G528" s="1">
        <v>209114</v>
      </c>
      <c r="H528" s="1">
        <v>40</v>
      </c>
      <c r="I528" s="1" t="s">
        <v>81</v>
      </c>
      <c r="J528" s="1">
        <f>+Table2[[#This Row],[Ventas]]/Table2[[#This Row],[Cantidad]]</f>
        <v>5227.8500000000004</v>
      </c>
      <c r="K528" s="1" t="str">
        <f>+_xlfn.IFS(Table2[[#This Row],[Ventas]]&gt;200000,"Alta", Table2[[#This Row],[Ventas]]&gt;100000,"Media",TRUE,"Bajo")</f>
        <v>Alta</v>
      </c>
    </row>
    <row r="529" spans="1:11" x14ac:dyDescent="0.25">
      <c r="A529" s="1" t="s">
        <v>101</v>
      </c>
      <c r="B529" s="1" t="s">
        <v>113</v>
      </c>
      <c r="C529" s="1" t="s">
        <v>92</v>
      </c>
      <c r="D529" s="1" t="s">
        <v>5</v>
      </c>
      <c r="E529" s="2">
        <v>42186.457638888889</v>
      </c>
      <c r="F529" s="1" t="s">
        <v>7</v>
      </c>
      <c r="G529" s="1">
        <v>139313</v>
      </c>
      <c r="H529" s="1">
        <v>29</v>
      </c>
      <c r="I529" s="1" t="s">
        <v>81</v>
      </c>
      <c r="J529" s="1">
        <f>+Table2[[#This Row],[Ventas]]/Table2[[#This Row],[Cantidad]]</f>
        <v>4803.8965517241377</v>
      </c>
      <c r="K529" s="1" t="str">
        <f>+_xlfn.IFS(Table2[[#This Row],[Ventas]]&gt;200000,"Alta", Table2[[#This Row],[Ventas]]&gt;100000,"Media",TRUE,"Bajo")</f>
        <v>Media</v>
      </c>
    </row>
    <row r="530" spans="1:11" x14ac:dyDescent="0.25">
      <c r="A530" s="1" t="s">
        <v>101</v>
      </c>
      <c r="B530" s="1" t="s">
        <v>126</v>
      </c>
      <c r="C530" s="1" t="s">
        <v>91</v>
      </c>
      <c r="D530" s="1" t="s">
        <v>9</v>
      </c>
      <c r="E530" s="2">
        <v>42186.457638888889</v>
      </c>
      <c r="F530" s="1" t="s">
        <v>7</v>
      </c>
      <c r="G530" s="1">
        <v>245945</v>
      </c>
      <c r="H530" s="1">
        <v>17</v>
      </c>
      <c r="I530" s="1" t="s">
        <v>79</v>
      </c>
      <c r="J530" s="1">
        <f>+Table2[[#This Row],[Ventas]]/Table2[[#This Row],[Cantidad]]</f>
        <v>14467.35294117647</v>
      </c>
      <c r="K530" s="1" t="str">
        <f>+_xlfn.IFS(Table2[[#This Row],[Ventas]]&gt;200000,"Alta", Table2[[#This Row],[Ventas]]&gt;100000,"Media",TRUE,"Bajo")</f>
        <v>Alta</v>
      </c>
    </row>
    <row r="531" spans="1:11" x14ac:dyDescent="0.25">
      <c r="A531" s="1" t="s">
        <v>101</v>
      </c>
      <c r="B531" s="1" t="s">
        <v>144</v>
      </c>
      <c r="C531" s="1" t="s">
        <v>84</v>
      </c>
      <c r="D531" s="1" t="s">
        <v>5</v>
      </c>
      <c r="E531" s="2">
        <v>42186.457638888889</v>
      </c>
      <c r="F531" s="1" t="s">
        <v>12</v>
      </c>
      <c r="G531" s="1">
        <v>118158</v>
      </c>
      <c r="H531" s="1">
        <v>15</v>
      </c>
      <c r="I531" s="1" t="s">
        <v>79</v>
      </c>
      <c r="J531" s="1">
        <f>+Table2[[#This Row],[Ventas]]/Table2[[#This Row],[Cantidad]]</f>
        <v>7877.2</v>
      </c>
      <c r="K531" s="1" t="str">
        <f>+_xlfn.IFS(Table2[[#This Row],[Ventas]]&gt;200000,"Alta", Table2[[#This Row],[Ventas]]&gt;100000,"Media",TRUE,"Bajo")</f>
        <v>Media</v>
      </c>
    </row>
    <row r="532" spans="1:11" x14ac:dyDescent="0.25">
      <c r="A532" s="1" t="s">
        <v>101</v>
      </c>
      <c r="B532" s="1" t="s">
        <v>59</v>
      </c>
      <c r="C532" s="1" t="s">
        <v>91</v>
      </c>
      <c r="D532" s="1" t="s">
        <v>9</v>
      </c>
      <c r="E532" s="2">
        <v>42207.457638888889</v>
      </c>
      <c r="F532" s="1" t="s">
        <v>6</v>
      </c>
      <c r="G532" s="1">
        <v>175447</v>
      </c>
      <c r="H532" s="1">
        <v>42</v>
      </c>
      <c r="I532" s="1" t="s">
        <v>81</v>
      </c>
      <c r="J532" s="1">
        <f>+Table2[[#This Row],[Ventas]]/Table2[[#This Row],[Cantidad]]</f>
        <v>4177.3095238095239</v>
      </c>
      <c r="K532" s="1" t="str">
        <f>+_xlfn.IFS(Table2[[#This Row],[Ventas]]&gt;200000,"Alta", Table2[[#This Row],[Ventas]]&gt;100000,"Media",TRUE,"Bajo")</f>
        <v>Media</v>
      </c>
    </row>
    <row r="533" spans="1:11" x14ac:dyDescent="0.25">
      <c r="A533" s="1" t="s">
        <v>101</v>
      </c>
      <c r="B533" s="1" t="s">
        <v>122</v>
      </c>
      <c r="C533" s="1" t="s">
        <v>92</v>
      </c>
      <c r="D533" s="1" t="s">
        <v>5</v>
      </c>
      <c r="E533" s="2">
        <v>42188.457638888889</v>
      </c>
      <c r="F533" s="1" t="s">
        <v>7</v>
      </c>
      <c r="G533" s="1">
        <v>174086</v>
      </c>
      <c r="H533" s="1">
        <v>22</v>
      </c>
      <c r="I533" s="1" t="s">
        <v>80</v>
      </c>
      <c r="J533" s="1">
        <f>+Table2[[#This Row],[Ventas]]/Table2[[#This Row],[Cantidad]]</f>
        <v>7913</v>
      </c>
      <c r="K533" s="1" t="str">
        <f>+_xlfn.IFS(Table2[[#This Row],[Ventas]]&gt;200000,"Alta", Table2[[#This Row],[Ventas]]&gt;100000,"Media",TRUE,"Bajo")</f>
        <v>Media</v>
      </c>
    </row>
    <row r="534" spans="1:11" x14ac:dyDescent="0.25">
      <c r="A534" s="1" t="s">
        <v>101</v>
      </c>
      <c r="B534" s="1" t="s">
        <v>114</v>
      </c>
      <c r="C534" s="1" t="s">
        <v>92</v>
      </c>
      <c r="D534" s="1" t="s">
        <v>5</v>
      </c>
      <c r="E534" s="2">
        <v>42215.457638888889</v>
      </c>
      <c r="F534" s="1" t="s">
        <v>6</v>
      </c>
      <c r="G534" s="1">
        <v>70653</v>
      </c>
      <c r="H534" s="1">
        <v>38</v>
      </c>
      <c r="I534" s="1" t="s">
        <v>80</v>
      </c>
      <c r="J534" s="1">
        <f>+Table2[[#This Row],[Ventas]]/Table2[[#This Row],[Cantidad]]</f>
        <v>1859.2894736842106</v>
      </c>
      <c r="K534" s="1" t="str">
        <f>+_xlfn.IFS(Table2[[#This Row],[Ventas]]&gt;200000,"Alta", Table2[[#This Row],[Ventas]]&gt;100000,"Media",TRUE,"Bajo")</f>
        <v>Bajo</v>
      </c>
    </row>
    <row r="535" spans="1:11" x14ac:dyDescent="0.25">
      <c r="A535" s="1" t="s">
        <v>101</v>
      </c>
      <c r="B535" s="1" t="s">
        <v>140</v>
      </c>
      <c r="C535" s="1" t="s">
        <v>88</v>
      </c>
      <c r="D535" s="1" t="s">
        <v>9</v>
      </c>
      <c r="E535" s="2">
        <v>42186.457638888889</v>
      </c>
      <c r="F535" s="1" t="s">
        <v>6</v>
      </c>
      <c r="G535" s="1">
        <v>85203</v>
      </c>
      <c r="H535" s="1">
        <v>31</v>
      </c>
      <c r="I535" s="1" t="s">
        <v>79</v>
      </c>
      <c r="J535" s="1">
        <f>+Table2[[#This Row],[Ventas]]/Table2[[#This Row],[Cantidad]]</f>
        <v>2748.483870967742</v>
      </c>
      <c r="K535" s="1" t="str">
        <f>+_xlfn.IFS(Table2[[#This Row],[Ventas]]&gt;200000,"Alta", Table2[[#This Row],[Ventas]]&gt;100000,"Media",TRUE,"Bajo")</f>
        <v>Bajo</v>
      </c>
    </row>
    <row r="536" spans="1:11" x14ac:dyDescent="0.25">
      <c r="A536" s="1" t="s">
        <v>101</v>
      </c>
      <c r="B536" s="1" t="s">
        <v>140</v>
      </c>
      <c r="C536" s="1" t="s">
        <v>88</v>
      </c>
      <c r="D536" s="1" t="s">
        <v>9</v>
      </c>
      <c r="E536" s="2">
        <v>42186.457638888889</v>
      </c>
      <c r="F536" s="1" t="s">
        <v>6</v>
      </c>
      <c r="G536" s="1">
        <v>248288</v>
      </c>
      <c r="H536" s="1">
        <v>17</v>
      </c>
      <c r="I536" s="1" t="s">
        <v>79</v>
      </c>
      <c r="J536" s="1">
        <f>+Table2[[#This Row],[Ventas]]/Table2[[#This Row],[Cantidad]]</f>
        <v>14605.176470588236</v>
      </c>
      <c r="K536" s="1" t="str">
        <f>+_xlfn.IFS(Table2[[#This Row],[Ventas]]&gt;200000,"Alta", Table2[[#This Row],[Ventas]]&gt;100000,"Media",TRUE,"Bajo")</f>
        <v>Alta</v>
      </c>
    </row>
    <row r="537" spans="1:11" x14ac:dyDescent="0.25">
      <c r="A537" s="1" t="s">
        <v>101</v>
      </c>
      <c r="B537" s="1" t="s">
        <v>113</v>
      </c>
      <c r="C537" s="1" t="s">
        <v>92</v>
      </c>
      <c r="D537" s="1" t="s">
        <v>5</v>
      </c>
      <c r="E537" s="2">
        <v>42186.457638888889</v>
      </c>
      <c r="F537" s="1" t="s">
        <v>7</v>
      </c>
      <c r="G537" s="1">
        <v>185106</v>
      </c>
      <c r="H537" s="1">
        <v>29</v>
      </c>
      <c r="I537" s="1" t="s">
        <v>79</v>
      </c>
      <c r="J537" s="1">
        <f>+Table2[[#This Row],[Ventas]]/Table2[[#This Row],[Cantidad]]</f>
        <v>6382.9655172413795</v>
      </c>
      <c r="K537" s="1" t="str">
        <f>+_xlfn.IFS(Table2[[#This Row],[Ventas]]&gt;200000,"Alta", Table2[[#This Row],[Ventas]]&gt;100000,"Media",TRUE,"Bajo")</f>
        <v>Media</v>
      </c>
    </row>
    <row r="538" spans="1:11" x14ac:dyDescent="0.25">
      <c r="A538" s="1" t="s">
        <v>102</v>
      </c>
      <c r="B538" s="1" t="s">
        <v>126</v>
      </c>
      <c r="C538" s="1" t="s">
        <v>91</v>
      </c>
      <c r="D538" s="1" t="s">
        <v>9</v>
      </c>
      <c r="E538" s="2">
        <v>42186.457638888889</v>
      </c>
      <c r="F538" s="1" t="s">
        <v>7</v>
      </c>
      <c r="G538" s="1">
        <v>98751</v>
      </c>
      <c r="H538" s="1">
        <v>35</v>
      </c>
      <c r="I538" s="1" t="s">
        <v>79</v>
      </c>
      <c r="J538" s="1">
        <f>+Table2[[#This Row],[Ventas]]/Table2[[#This Row],[Cantidad]]</f>
        <v>2821.457142857143</v>
      </c>
      <c r="K538" s="1" t="str">
        <f>+_xlfn.IFS(Table2[[#This Row],[Ventas]]&gt;200000,"Alta", Table2[[#This Row],[Ventas]]&gt;100000,"Media",TRUE,"Bajo")</f>
        <v>Bajo</v>
      </c>
    </row>
    <row r="539" spans="1:11" x14ac:dyDescent="0.25">
      <c r="A539" s="1" t="s">
        <v>102</v>
      </c>
      <c r="B539" s="1" t="s">
        <v>126</v>
      </c>
      <c r="C539" s="1" t="s">
        <v>91</v>
      </c>
      <c r="D539" s="1" t="s">
        <v>9</v>
      </c>
      <c r="E539" s="2">
        <v>42186.457638888889</v>
      </c>
      <c r="F539" s="1" t="s">
        <v>7</v>
      </c>
      <c r="G539" s="1">
        <v>182420</v>
      </c>
      <c r="H539" s="1">
        <v>38</v>
      </c>
      <c r="I539" s="1" t="s">
        <v>79</v>
      </c>
      <c r="J539" s="1">
        <f>+Table2[[#This Row],[Ventas]]/Table2[[#This Row],[Cantidad]]</f>
        <v>4800.5263157894733</v>
      </c>
      <c r="K539" s="1" t="str">
        <f>+_xlfn.IFS(Table2[[#This Row],[Ventas]]&gt;200000,"Alta", Table2[[#This Row],[Ventas]]&gt;100000,"Media",TRUE,"Bajo")</f>
        <v>Media</v>
      </c>
    </row>
    <row r="540" spans="1:11" x14ac:dyDescent="0.25">
      <c r="A540" s="1" t="s">
        <v>102</v>
      </c>
      <c r="B540" s="1" t="s">
        <v>144</v>
      </c>
      <c r="C540" s="1" t="s">
        <v>84</v>
      </c>
      <c r="D540" s="1" t="s">
        <v>5</v>
      </c>
      <c r="E540" s="2">
        <v>42186.457638888889</v>
      </c>
      <c r="F540" s="1" t="s">
        <v>12</v>
      </c>
      <c r="G540" s="1">
        <v>125495</v>
      </c>
      <c r="H540" s="1">
        <v>18</v>
      </c>
      <c r="I540" s="1" t="s">
        <v>79</v>
      </c>
      <c r="J540" s="1">
        <f>+Table2[[#This Row],[Ventas]]/Table2[[#This Row],[Cantidad]]</f>
        <v>6971.9444444444443</v>
      </c>
      <c r="K540" s="1" t="str">
        <f>+_xlfn.IFS(Table2[[#This Row],[Ventas]]&gt;200000,"Alta", Table2[[#This Row],[Ventas]]&gt;100000,"Media",TRUE,"Bajo")</f>
        <v>Media</v>
      </c>
    </row>
    <row r="541" spans="1:11" x14ac:dyDescent="0.25">
      <c r="A541" s="1" t="s">
        <v>102</v>
      </c>
      <c r="B541" s="1" t="s">
        <v>144</v>
      </c>
      <c r="C541" s="1" t="s">
        <v>84</v>
      </c>
      <c r="D541" s="1" t="s">
        <v>5</v>
      </c>
      <c r="E541" s="2">
        <v>42186.457638888889</v>
      </c>
      <c r="F541" s="1" t="s">
        <v>12</v>
      </c>
      <c r="G541" s="1">
        <v>126327</v>
      </c>
      <c r="H541" s="1">
        <v>40</v>
      </c>
      <c r="I541" s="1" t="s">
        <v>79</v>
      </c>
      <c r="J541" s="1">
        <f>+Table2[[#This Row],[Ventas]]/Table2[[#This Row],[Cantidad]]</f>
        <v>3158.1750000000002</v>
      </c>
      <c r="K541" s="1" t="str">
        <f>+_xlfn.IFS(Table2[[#This Row],[Ventas]]&gt;200000,"Alta", Table2[[#This Row],[Ventas]]&gt;100000,"Media",TRUE,"Bajo")</f>
        <v>Media</v>
      </c>
    </row>
    <row r="542" spans="1:11" x14ac:dyDescent="0.25">
      <c r="A542" s="1" t="s">
        <v>102</v>
      </c>
      <c r="B542" s="1" t="s">
        <v>144</v>
      </c>
      <c r="C542" s="1" t="s">
        <v>84</v>
      </c>
      <c r="D542" s="1" t="s">
        <v>5</v>
      </c>
      <c r="E542" s="2">
        <v>42186.457638888889</v>
      </c>
      <c r="F542" s="1" t="s">
        <v>12</v>
      </c>
      <c r="G542" s="1">
        <v>86725</v>
      </c>
      <c r="H542" s="1">
        <v>39</v>
      </c>
      <c r="I542" s="1" t="s">
        <v>79</v>
      </c>
      <c r="J542" s="1">
        <f>+Table2[[#This Row],[Ventas]]/Table2[[#This Row],[Cantidad]]</f>
        <v>2223.7179487179487</v>
      </c>
      <c r="K542" s="1" t="str">
        <f>+_xlfn.IFS(Table2[[#This Row],[Ventas]]&gt;200000,"Alta", Table2[[#This Row],[Ventas]]&gt;100000,"Media",TRUE,"Bajo")</f>
        <v>Bajo</v>
      </c>
    </row>
    <row r="543" spans="1:11" x14ac:dyDescent="0.25">
      <c r="A543" s="1" t="s">
        <v>102</v>
      </c>
      <c r="B543" s="1" t="s">
        <v>138</v>
      </c>
      <c r="C543" s="1" t="s">
        <v>84</v>
      </c>
      <c r="D543" s="1" t="s">
        <v>5</v>
      </c>
      <c r="E543" s="2">
        <v>42215.457638888889</v>
      </c>
      <c r="F543" s="1" t="s">
        <v>10</v>
      </c>
      <c r="G543" s="1">
        <v>113258</v>
      </c>
      <c r="H543" s="1">
        <v>17</v>
      </c>
      <c r="I543" s="1" t="s">
        <v>80</v>
      </c>
      <c r="J543" s="1">
        <f>+Table2[[#This Row],[Ventas]]/Table2[[#This Row],[Cantidad]]</f>
        <v>6662.2352941176468</v>
      </c>
      <c r="K543" s="1" t="str">
        <f>+_xlfn.IFS(Table2[[#This Row],[Ventas]]&gt;200000,"Alta", Table2[[#This Row],[Ventas]]&gt;100000,"Media",TRUE,"Bajo")</f>
        <v>Media</v>
      </c>
    </row>
    <row r="544" spans="1:11" x14ac:dyDescent="0.25">
      <c r="A544" s="1" t="s">
        <v>102</v>
      </c>
      <c r="B544" s="1" t="s">
        <v>144</v>
      </c>
      <c r="C544" s="1" t="s">
        <v>85</v>
      </c>
      <c r="D544" s="1" t="s">
        <v>5</v>
      </c>
      <c r="E544" s="2">
        <v>42186.457638888889</v>
      </c>
      <c r="F544" s="1" t="s">
        <v>6</v>
      </c>
      <c r="G544" s="1">
        <v>103229</v>
      </c>
      <c r="H544" s="1">
        <v>34</v>
      </c>
      <c r="I544" s="1" t="s">
        <v>81</v>
      </c>
      <c r="J544" s="1">
        <f>+Table2[[#This Row],[Ventas]]/Table2[[#This Row],[Cantidad]]</f>
        <v>3036.1470588235293</v>
      </c>
      <c r="K544" s="1" t="str">
        <f>+_xlfn.IFS(Table2[[#This Row],[Ventas]]&gt;200000,"Alta", Table2[[#This Row],[Ventas]]&gt;100000,"Media",TRUE,"Bajo")</f>
        <v>Media</v>
      </c>
    </row>
    <row r="545" spans="1:11" x14ac:dyDescent="0.25">
      <c r="A545" s="1" t="s">
        <v>102</v>
      </c>
      <c r="B545" s="1" t="s">
        <v>52</v>
      </c>
      <c r="C545" s="1" t="s">
        <v>91</v>
      </c>
      <c r="D545" s="1" t="s">
        <v>9</v>
      </c>
      <c r="E545" s="2">
        <v>42216.457638888889</v>
      </c>
      <c r="F545" s="1" t="s">
        <v>6</v>
      </c>
      <c r="G545" s="1">
        <v>75000</v>
      </c>
      <c r="H545" s="1">
        <v>34</v>
      </c>
      <c r="I545" s="1" t="s">
        <v>79</v>
      </c>
      <c r="J545" s="1">
        <f>+Table2[[#This Row],[Ventas]]/Table2[[#This Row],[Cantidad]]</f>
        <v>2205.8823529411766</v>
      </c>
      <c r="K545" s="1" t="str">
        <f>+_xlfn.IFS(Table2[[#This Row],[Ventas]]&gt;200000,"Alta", Table2[[#This Row],[Ventas]]&gt;100000,"Media",TRUE,"Bajo")</f>
        <v>Bajo</v>
      </c>
    </row>
    <row r="546" spans="1:11" x14ac:dyDescent="0.25">
      <c r="A546" s="1" t="s">
        <v>102</v>
      </c>
      <c r="B546" s="1" t="s">
        <v>147</v>
      </c>
      <c r="C546" s="1" t="s">
        <v>91</v>
      </c>
      <c r="D546" s="1" t="s">
        <v>9</v>
      </c>
      <c r="E546" s="2">
        <v>42186.457638888889</v>
      </c>
      <c r="F546" s="1" t="s">
        <v>7</v>
      </c>
      <c r="G546" s="1">
        <v>171136</v>
      </c>
      <c r="H546" s="1">
        <v>28</v>
      </c>
      <c r="I546" s="1" t="s">
        <v>79</v>
      </c>
      <c r="J546" s="1">
        <f>+Table2[[#This Row],[Ventas]]/Table2[[#This Row],[Cantidad]]</f>
        <v>6112</v>
      </c>
      <c r="K546" s="1" t="str">
        <f>+_xlfn.IFS(Table2[[#This Row],[Ventas]]&gt;200000,"Alta", Table2[[#This Row],[Ventas]]&gt;100000,"Media",TRUE,"Bajo")</f>
        <v>Media</v>
      </c>
    </row>
    <row r="547" spans="1:11" x14ac:dyDescent="0.25">
      <c r="A547" s="1" t="s">
        <v>102</v>
      </c>
      <c r="B547" s="1" t="s">
        <v>122</v>
      </c>
      <c r="C547" s="1" t="s">
        <v>92</v>
      </c>
      <c r="D547" s="1" t="s">
        <v>5</v>
      </c>
      <c r="E547" s="2">
        <v>42188.457638888889</v>
      </c>
      <c r="F547" s="1" t="s">
        <v>7</v>
      </c>
      <c r="G547" s="1">
        <v>82065</v>
      </c>
      <c r="H547" s="1">
        <v>37</v>
      </c>
      <c r="I547" s="1" t="s">
        <v>79</v>
      </c>
      <c r="J547" s="1">
        <f>+Table2[[#This Row],[Ventas]]/Table2[[#This Row],[Cantidad]]</f>
        <v>2217.9729729729729</v>
      </c>
      <c r="K547" s="1" t="str">
        <f>+_xlfn.IFS(Table2[[#This Row],[Ventas]]&gt;200000,"Alta", Table2[[#This Row],[Ventas]]&gt;100000,"Media",TRUE,"Bajo")</f>
        <v>Bajo</v>
      </c>
    </row>
    <row r="548" spans="1:11" x14ac:dyDescent="0.25">
      <c r="A548" s="1" t="s">
        <v>102</v>
      </c>
      <c r="B548" s="1" t="s">
        <v>110</v>
      </c>
      <c r="C548" s="1" t="s">
        <v>92</v>
      </c>
      <c r="D548" s="1" t="s">
        <v>5</v>
      </c>
      <c r="E548" s="2">
        <v>42209.457638888889</v>
      </c>
      <c r="F548" s="1" t="s">
        <v>10</v>
      </c>
      <c r="G548" s="1">
        <v>153126</v>
      </c>
      <c r="H548" s="1">
        <v>32</v>
      </c>
      <c r="I548" s="1" t="s">
        <v>81</v>
      </c>
      <c r="J548" s="1">
        <f>+Table2[[#This Row],[Ventas]]/Table2[[#This Row],[Cantidad]]</f>
        <v>4785.1875</v>
      </c>
      <c r="K548" s="1" t="str">
        <f>+_xlfn.IFS(Table2[[#This Row],[Ventas]]&gt;200000,"Alta", Table2[[#This Row],[Ventas]]&gt;100000,"Media",TRUE,"Bajo")</f>
        <v>Media</v>
      </c>
    </row>
    <row r="549" spans="1:11" x14ac:dyDescent="0.25">
      <c r="A549" s="1" t="s">
        <v>102</v>
      </c>
      <c r="B549" s="1" t="s">
        <v>140</v>
      </c>
      <c r="C549" s="1" t="s">
        <v>88</v>
      </c>
      <c r="D549" s="1" t="s">
        <v>9</v>
      </c>
      <c r="E549" s="2">
        <v>42186.457638888889</v>
      </c>
      <c r="F549" s="1" t="s">
        <v>6</v>
      </c>
      <c r="G549" s="1">
        <v>231400</v>
      </c>
      <c r="H549" s="1">
        <v>34</v>
      </c>
      <c r="I549" s="1" t="s">
        <v>79</v>
      </c>
      <c r="J549" s="1">
        <f>+Table2[[#This Row],[Ventas]]/Table2[[#This Row],[Cantidad]]</f>
        <v>6805.8823529411766</v>
      </c>
      <c r="K549" s="1" t="str">
        <f>+_xlfn.IFS(Table2[[#This Row],[Ventas]]&gt;200000,"Alta", Table2[[#This Row],[Ventas]]&gt;100000,"Media",TRUE,"Bajo")</f>
        <v>Alta</v>
      </c>
    </row>
    <row r="550" spans="1:11" x14ac:dyDescent="0.25">
      <c r="A550" s="1" t="s">
        <v>102</v>
      </c>
      <c r="B550" s="1" t="s">
        <v>140</v>
      </c>
      <c r="C550" s="1" t="s">
        <v>88</v>
      </c>
      <c r="D550" s="1" t="s">
        <v>9</v>
      </c>
      <c r="E550" s="2">
        <v>42186.457638888889</v>
      </c>
      <c r="F550" s="1" t="s">
        <v>6</v>
      </c>
      <c r="G550" s="1">
        <v>224684</v>
      </c>
      <c r="H550" s="1">
        <v>38</v>
      </c>
      <c r="I550" s="1" t="s">
        <v>79</v>
      </c>
      <c r="J550" s="1">
        <f>+Table2[[#This Row],[Ventas]]/Table2[[#This Row],[Cantidad]]</f>
        <v>5912.7368421052633</v>
      </c>
      <c r="K550" s="1" t="str">
        <f>+_xlfn.IFS(Table2[[#This Row],[Ventas]]&gt;200000,"Alta", Table2[[#This Row],[Ventas]]&gt;100000,"Media",TRUE,"Bajo")</f>
        <v>Alta</v>
      </c>
    </row>
    <row r="551" spans="1:11" x14ac:dyDescent="0.25">
      <c r="A551" s="1" t="s">
        <v>102</v>
      </c>
      <c r="B551" s="1" t="s">
        <v>144</v>
      </c>
      <c r="C551" s="1" t="s">
        <v>84</v>
      </c>
      <c r="D551" s="1" t="s">
        <v>5</v>
      </c>
      <c r="E551" s="2">
        <v>42186.457638888889</v>
      </c>
      <c r="F551" s="1" t="s">
        <v>12</v>
      </c>
      <c r="G551" s="1">
        <v>219831</v>
      </c>
      <c r="H551" s="1">
        <v>28</v>
      </c>
      <c r="I551" s="1" t="s">
        <v>79</v>
      </c>
      <c r="J551" s="1">
        <f>+Table2[[#This Row],[Ventas]]/Table2[[#This Row],[Cantidad]]</f>
        <v>7851.1071428571431</v>
      </c>
      <c r="K551" s="1" t="str">
        <f>+_xlfn.IFS(Table2[[#This Row],[Ventas]]&gt;200000,"Alta", Table2[[#This Row],[Ventas]]&gt;100000,"Media",TRUE,"Bajo")</f>
        <v>Alta</v>
      </c>
    </row>
    <row r="552" spans="1:11" x14ac:dyDescent="0.25">
      <c r="A552" s="1" t="s">
        <v>102</v>
      </c>
      <c r="B552" s="1" t="s">
        <v>144</v>
      </c>
      <c r="C552" s="1" t="s">
        <v>84</v>
      </c>
      <c r="D552" s="1" t="s">
        <v>5</v>
      </c>
      <c r="E552" s="2">
        <v>42186.457638888889</v>
      </c>
      <c r="F552" s="1" t="s">
        <v>12</v>
      </c>
      <c r="G552" s="1">
        <v>66563</v>
      </c>
      <c r="H552" s="1">
        <v>17</v>
      </c>
      <c r="I552" s="1" t="s">
        <v>80</v>
      </c>
      <c r="J552" s="1">
        <f>+Table2[[#This Row],[Ventas]]/Table2[[#This Row],[Cantidad]]</f>
        <v>3915.4705882352941</v>
      </c>
      <c r="K552" s="1" t="str">
        <f>+_xlfn.IFS(Table2[[#This Row],[Ventas]]&gt;200000,"Alta", Table2[[#This Row],[Ventas]]&gt;100000,"Media",TRUE,"Bajo")</f>
        <v>Bajo</v>
      </c>
    </row>
    <row r="553" spans="1:11" x14ac:dyDescent="0.25">
      <c r="A553" s="1" t="s">
        <v>102</v>
      </c>
      <c r="B553" s="1" t="s">
        <v>144</v>
      </c>
      <c r="C553" s="1" t="s">
        <v>84</v>
      </c>
      <c r="D553" s="1" t="s">
        <v>5</v>
      </c>
      <c r="E553" s="2">
        <v>42186.457638888889</v>
      </c>
      <c r="F553" s="1" t="s">
        <v>12</v>
      </c>
      <c r="G553" s="1">
        <v>235887</v>
      </c>
      <c r="H553" s="1">
        <v>33</v>
      </c>
      <c r="I553" s="1" t="s">
        <v>80</v>
      </c>
      <c r="J553" s="1">
        <f>+Table2[[#This Row],[Ventas]]/Table2[[#This Row],[Cantidad]]</f>
        <v>7148.090909090909</v>
      </c>
      <c r="K553" s="1" t="str">
        <f>+_xlfn.IFS(Table2[[#This Row],[Ventas]]&gt;200000,"Alta", Table2[[#This Row],[Ventas]]&gt;100000,"Media",TRUE,"Bajo")</f>
        <v>Alta</v>
      </c>
    </row>
    <row r="554" spans="1:11" x14ac:dyDescent="0.25">
      <c r="A554" s="1" t="s">
        <v>102</v>
      </c>
      <c r="B554" s="1" t="s">
        <v>126</v>
      </c>
      <c r="C554" s="1" t="s">
        <v>88</v>
      </c>
      <c r="D554" s="1" t="s">
        <v>9</v>
      </c>
      <c r="E554" s="2">
        <v>42216.457638888889</v>
      </c>
      <c r="F554" s="1" t="s">
        <v>6</v>
      </c>
      <c r="G554" s="1">
        <v>150988</v>
      </c>
      <c r="H554" s="1">
        <v>27</v>
      </c>
      <c r="I554" s="1" t="s">
        <v>80</v>
      </c>
      <c r="J554" s="1">
        <f>+Table2[[#This Row],[Ventas]]/Table2[[#This Row],[Cantidad]]</f>
        <v>5592.1481481481478</v>
      </c>
      <c r="K554" s="1" t="str">
        <f>+_xlfn.IFS(Table2[[#This Row],[Ventas]]&gt;200000,"Alta", Table2[[#This Row],[Ventas]]&gt;100000,"Media",TRUE,"Bajo")</f>
        <v>Media</v>
      </c>
    </row>
    <row r="555" spans="1:11" x14ac:dyDescent="0.25">
      <c r="A555" s="1" t="s">
        <v>102</v>
      </c>
      <c r="B555" s="1" t="s">
        <v>56</v>
      </c>
      <c r="C555" s="1" t="s">
        <v>88</v>
      </c>
      <c r="D555" s="1" t="s">
        <v>9</v>
      </c>
      <c r="E555" s="2">
        <v>42215.457638888889</v>
      </c>
      <c r="F555" s="1" t="s">
        <v>6</v>
      </c>
      <c r="G555" s="1">
        <v>200255</v>
      </c>
      <c r="H555" s="1">
        <v>28</v>
      </c>
      <c r="I555" s="1" t="s">
        <v>82</v>
      </c>
      <c r="J555" s="1">
        <f>+Table2[[#This Row],[Ventas]]/Table2[[#This Row],[Cantidad]]</f>
        <v>7151.9642857142853</v>
      </c>
      <c r="K555" s="1" t="str">
        <f>+_xlfn.IFS(Table2[[#This Row],[Ventas]]&gt;200000,"Alta", Table2[[#This Row],[Ventas]]&gt;100000,"Media",TRUE,"Bajo")</f>
        <v>Alta</v>
      </c>
    </row>
    <row r="556" spans="1:11" x14ac:dyDescent="0.25">
      <c r="A556" s="1" t="s">
        <v>102</v>
      </c>
      <c r="B556" s="1" t="s">
        <v>147</v>
      </c>
      <c r="C556" s="1" t="s">
        <v>91</v>
      </c>
      <c r="D556" s="1" t="s">
        <v>9</v>
      </c>
      <c r="E556" s="2">
        <v>42186.457638888889</v>
      </c>
      <c r="F556" s="1" t="s">
        <v>7</v>
      </c>
      <c r="G556" s="1">
        <v>118900</v>
      </c>
      <c r="H556" s="1">
        <v>22</v>
      </c>
      <c r="I556" s="1" t="s">
        <v>79</v>
      </c>
      <c r="J556" s="1">
        <f>+Table2[[#This Row],[Ventas]]/Table2[[#This Row],[Cantidad]]</f>
        <v>5404.545454545455</v>
      </c>
      <c r="K556" s="1" t="str">
        <f>+_xlfn.IFS(Table2[[#This Row],[Ventas]]&gt;200000,"Alta", Table2[[#This Row],[Ventas]]&gt;100000,"Media",TRUE,"Bajo")</f>
        <v>Media</v>
      </c>
    </row>
    <row r="557" spans="1:11" x14ac:dyDescent="0.25">
      <c r="A557" s="1" t="s">
        <v>102</v>
      </c>
      <c r="B557" s="1" t="s">
        <v>110</v>
      </c>
      <c r="C557" s="1" t="s">
        <v>92</v>
      </c>
      <c r="D557" s="1" t="s">
        <v>5</v>
      </c>
      <c r="E557" s="2">
        <v>42209.457638888889</v>
      </c>
      <c r="F557" s="1" t="s">
        <v>10</v>
      </c>
      <c r="G557" s="1">
        <v>71730</v>
      </c>
      <c r="H557" s="1">
        <v>36</v>
      </c>
      <c r="I557" s="1" t="s">
        <v>79</v>
      </c>
      <c r="J557" s="1">
        <f>+Table2[[#This Row],[Ventas]]/Table2[[#This Row],[Cantidad]]</f>
        <v>1992.5</v>
      </c>
      <c r="K557" s="1" t="str">
        <f>+_xlfn.IFS(Table2[[#This Row],[Ventas]]&gt;200000,"Alta", Table2[[#This Row],[Ventas]]&gt;100000,"Media",TRUE,"Bajo")</f>
        <v>Bajo</v>
      </c>
    </row>
    <row r="558" spans="1:11" x14ac:dyDescent="0.25">
      <c r="A558" s="1" t="s">
        <v>102</v>
      </c>
      <c r="B558" s="1" t="s">
        <v>126</v>
      </c>
      <c r="C558" s="1" t="s">
        <v>91</v>
      </c>
      <c r="D558" s="1" t="s">
        <v>9</v>
      </c>
      <c r="E558" s="2">
        <v>42186.457638888889</v>
      </c>
      <c r="F558" s="1" t="s">
        <v>7</v>
      </c>
      <c r="G558" s="1">
        <v>104555</v>
      </c>
      <c r="H558" s="1">
        <v>27</v>
      </c>
      <c r="I558" s="1" t="s">
        <v>79</v>
      </c>
      <c r="J558" s="1">
        <f>+Table2[[#This Row],[Ventas]]/Table2[[#This Row],[Cantidad]]</f>
        <v>3872.4074074074074</v>
      </c>
      <c r="K558" s="1" t="str">
        <f>+_xlfn.IFS(Table2[[#This Row],[Ventas]]&gt;200000,"Alta", Table2[[#This Row],[Ventas]]&gt;100000,"Media",TRUE,"Bajo")</f>
        <v>Media</v>
      </c>
    </row>
    <row r="559" spans="1:11" x14ac:dyDescent="0.25">
      <c r="A559" s="1" t="s">
        <v>102</v>
      </c>
      <c r="B559" s="1" t="s">
        <v>144</v>
      </c>
      <c r="C559" s="1" t="s">
        <v>84</v>
      </c>
      <c r="D559" s="1" t="s">
        <v>5</v>
      </c>
      <c r="E559" s="2">
        <v>42186.457638888889</v>
      </c>
      <c r="F559" s="1" t="s">
        <v>12</v>
      </c>
      <c r="G559" s="1">
        <v>75775</v>
      </c>
      <c r="H559" s="1">
        <v>20</v>
      </c>
      <c r="I559" s="1" t="s">
        <v>82</v>
      </c>
      <c r="J559" s="1">
        <f>+Table2[[#This Row],[Ventas]]/Table2[[#This Row],[Cantidad]]</f>
        <v>3788.75</v>
      </c>
      <c r="K559" s="1" t="str">
        <f>+_xlfn.IFS(Table2[[#This Row],[Ventas]]&gt;200000,"Alta", Table2[[#This Row],[Ventas]]&gt;100000,"Media",TRUE,"Bajo")</f>
        <v>Bajo</v>
      </c>
    </row>
    <row r="560" spans="1:11" x14ac:dyDescent="0.25">
      <c r="A560" s="1" t="s">
        <v>102</v>
      </c>
      <c r="B560" s="1" t="s">
        <v>144</v>
      </c>
      <c r="C560" s="1" t="s">
        <v>85</v>
      </c>
      <c r="D560" s="1" t="s">
        <v>5</v>
      </c>
      <c r="E560" s="2">
        <v>42186.457638888889</v>
      </c>
      <c r="F560" s="1" t="s">
        <v>12</v>
      </c>
      <c r="G560" s="1">
        <v>140675</v>
      </c>
      <c r="H560" s="1">
        <v>22</v>
      </c>
      <c r="I560" s="1" t="s">
        <v>79</v>
      </c>
      <c r="J560" s="1">
        <f>+Table2[[#This Row],[Ventas]]/Table2[[#This Row],[Cantidad]]</f>
        <v>6394.318181818182</v>
      </c>
      <c r="K560" s="1" t="str">
        <f>+_xlfn.IFS(Table2[[#This Row],[Ventas]]&gt;200000,"Alta", Table2[[#This Row],[Ventas]]&gt;100000,"Media",TRUE,"Bajo")</f>
        <v>Media</v>
      </c>
    </row>
    <row r="561" spans="1:11" x14ac:dyDescent="0.25">
      <c r="A561" s="1" t="s">
        <v>102</v>
      </c>
      <c r="B561" s="1" t="s">
        <v>23</v>
      </c>
      <c r="C561" s="1" t="s">
        <v>84</v>
      </c>
      <c r="D561" s="1" t="s">
        <v>5</v>
      </c>
      <c r="E561" s="2">
        <v>42188.457638888889</v>
      </c>
      <c r="F561" s="1" t="s">
        <v>6</v>
      </c>
      <c r="G561" s="1">
        <v>208659</v>
      </c>
      <c r="H561" s="1">
        <v>28</v>
      </c>
      <c r="I561" s="1" t="s">
        <v>93</v>
      </c>
      <c r="J561" s="1">
        <f>+Table2[[#This Row],[Ventas]]/Table2[[#This Row],[Cantidad]]</f>
        <v>7452.1071428571431</v>
      </c>
      <c r="K561" s="1" t="str">
        <f>+_xlfn.IFS(Table2[[#This Row],[Ventas]]&gt;200000,"Alta", Table2[[#This Row],[Ventas]]&gt;100000,"Media",TRUE,"Bajo")</f>
        <v>Alta</v>
      </c>
    </row>
    <row r="562" spans="1:11" x14ac:dyDescent="0.25">
      <c r="A562" s="1" t="s">
        <v>102</v>
      </c>
      <c r="B562" s="1" t="s">
        <v>123</v>
      </c>
      <c r="C562" s="1" t="s">
        <v>84</v>
      </c>
      <c r="D562" s="1" t="s">
        <v>5</v>
      </c>
      <c r="E562" s="2">
        <v>42186.457638888889</v>
      </c>
      <c r="F562" s="1" t="s">
        <v>6</v>
      </c>
      <c r="G562" s="1">
        <v>106754</v>
      </c>
      <c r="H562" s="1">
        <v>38</v>
      </c>
      <c r="I562" s="1" t="s">
        <v>80</v>
      </c>
      <c r="J562" s="1">
        <f>+Table2[[#This Row],[Ventas]]/Table2[[#This Row],[Cantidad]]</f>
        <v>2809.3157894736842</v>
      </c>
      <c r="K562" s="1" t="str">
        <f>+_xlfn.IFS(Table2[[#This Row],[Ventas]]&gt;200000,"Alta", Table2[[#This Row],[Ventas]]&gt;100000,"Media",TRUE,"Bajo")</f>
        <v>Media</v>
      </c>
    </row>
    <row r="563" spans="1:11" x14ac:dyDescent="0.25">
      <c r="A563" s="1" t="s">
        <v>102</v>
      </c>
      <c r="B563" s="1" t="s">
        <v>140</v>
      </c>
      <c r="C563" s="1" t="s">
        <v>88</v>
      </c>
      <c r="D563" s="1" t="s">
        <v>9</v>
      </c>
      <c r="E563" s="2">
        <v>42186.457638888889</v>
      </c>
      <c r="F563" s="1" t="s">
        <v>6</v>
      </c>
      <c r="G563" s="1">
        <v>245753</v>
      </c>
      <c r="H563" s="1">
        <v>35</v>
      </c>
      <c r="I563" s="1" t="s">
        <v>79</v>
      </c>
      <c r="J563" s="1">
        <f>+Table2[[#This Row],[Ventas]]/Table2[[#This Row],[Cantidad]]</f>
        <v>7021.5142857142855</v>
      </c>
      <c r="K563" s="1" t="str">
        <f>+_xlfn.IFS(Table2[[#This Row],[Ventas]]&gt;200000,"Alta", Table2[[#This Row],[Ventas]]&gt;100000,"Media",TRUE,"Bajo")</f>
        <v>Alta</v>
      </c>
    </row>
    <row r="564" spans="1:11" x14ac:dyDescent="0.25">
      <c r="A564" s="1" t="s">
        <v>102</v>
      </c>
      <c r="B564" s="1" t="s">
        <v>15</v>
      </c>
      <c r="C564" s="1" t="s">
        <v>92</v>
      </c>
      <c r="D564" s="1" t="s">
        <v>5</v>
      </c>
      <c r="E564" s="2">
        <v>42186.457638888889</v>
      </c>
      <c r="F564" s="1" t="s">
        <v>7</v>
      </c>
      <c r="G564" s="1">
        <v>245158</v>
      </c>
      <c r="H564" s="1">
        <v>24</v>
      </c>
      <c r="I564" s="1" t="s">
        <v>79</v>
      </c>
      <c r="J564" s="1">
        <f>+Table2[[#This Row],[Ventas]]/Table2[[#This Row],[Cantidad]]</f>
        <v>10214.916666666666</v>
      </c>
      <c r="K564" s="1" t="str">
        <f>+_xlfn.IFS(Table2[[#This Row],[Ventas]]&gt;200000,"Alta", Table2[[#This Row],[Ventas]]&gt;100000,"Media",TRUE,"Bajo")</f>
        <v>Alta</v>
      </c>
    </row>
    <row r="565" spans="1:11" x14ac:dyDescent="0.25">
      <c r="A565" s="1" t="s">
        <v>102</v>
      </c>
      <c r="B565" s="1" t="s">
        <v>126</v>
      </c>
      <c r="C565" s="1" t="s">
        <v>91</v>
      </c>
      <c r="D565" s="1" t="s">
        <v>9</v>
      </c>
      <c r="E565" s="2">
        <v>42186.457638888889</v>
      </c>
      <c r="F565" s="1" t="s">
        <v>7</v>
      </c>
      <c r="G565" s="1">
        <v>53581</v>
      </c>
      <c r="H565" s="1">
        <v>29</v>
      </c>
      <c r="I565" s="1" t="s">
        <v>82</v>
      </c>
      <c r="J565" s="1">
        <f>+Table2[[#This Row],[Ventas]]/Table2[[#This Row],[Cantidad]]</f>
        <v>1847.6206896551723</v>
      </c>
      <c r="K565" s="1" t="str">
        <f>+_xlfn.IFS(Table2[[#This Row],[Ventas]]&gt;200000,"Alta", Table2[[#This Row],[Ventas]]&gt;100000,"Media",TRUE,"Bajo")</f>
        <v>Bajo</v>
      </c>
    </row>
    <row r="566" spans="1:11" x14ac:dyDescent="0.25">
      <c r="A566" s="1" t="s">
        <v>102</v>
      </c>
      <c r="B566" s="1" t="s">
        <v>126</v>
      </c>
      <c r="C566" s="1" t="s">
        <v>91</v>
      </c>
      <c r="D566" s="1" t="s">
        <v>9</v>
      </c>
      <c r="E566" s="2">
        <v>42186.457638888889</v>
      </c>
      <c r="F566" s="1" t="s">
        <v>7</v>
      </c>
      <c r="G566" s="1">
        <v>221642</v>
      </c>
      <c r="H566" s="1">
        <v>33</v>
      </c>
      <c r="I566" s="1" t="s">
        <v>79</v>
      </c>
      <c r="J566" s="1">
        <f>+Table2[[#This Row],[Ventas]]/Table2[[#This Row],[Cantidad]]</f>
        <v>6716.424242424242</v>
      </c>
      <c r="K566" s="1" t="str">
        <f>+_xlfn.IFS(Table2[[#This Row],[Ventas]]&gt;200000,"Alta", Table2[[#This Row],[Ventas]]&gt;100000,"Media",TRUE,"Bajo")</f>
        <v>Alta</v>
      </c>
    </row>
    <row r="567" spans="1:11" x14ac:dyDescent="0.25">
      <c r="A567" s="1" t="s">
        <v>102</v>
      </c>
      <c r="B567" s="1" t="s">
        <v>127</v>
      </c>
      <c r="C567" s="1" t="s">
        <v>84</v>
      </c>
      <c r="D567" s="1" t="s">
        <v>5</v>
      </c>
      <c r="E567" s="2">
        <v>42202.457638888889</v>
      </c>
      <c r="F567" s="1" t="s">
        <v>6</v>
      </c>
      <c r="G567" s="1">
        <v>104596</v>
      </c>
      <c r="H567" s="1">
        <v>16</v>
      </c>
      <c r="I567" s="1" t="s">
        <v>81</v>
      </c>
      <c r="J567" s="1">
        <f>+Table2[[#This Row],[Ventas]]/Table2[[#This Row],[Cantidad]]</f>
        <v>6537.25</v>
      </c>
      <c r="K567" s="1" t="str">
        <f>+_xlfn.IFS(Table2[[#This Row],[Ventas]]&gt;200000,"Alta", Table2[[#This Row],[Ventas]]&gt;100000,"Media",TRUE,"Bajo")</f>
        <v>Media</v>
      </c>
    </row>
    <row r="568" spans="1:11" x14ac:dyDescent="0.25">
      <c r="A568" s="1" t="s">
        <v>102</v>
      </c>
      <c r="B568" s="1" t="s">
        <v>127</v>
      </c>
      <c r="C568" s="1" t="s">
        <v>84</v>
      </c>
      <c r="D568" s="1" t="s">
        <v>5</v>
      </c>
      <c r="E568" s="2">
        <v>42202.457638888889</v>
      </c>
      <c r="F568" s="1" t="s">
        <v>6</v>
      </c>
      <c r="G568" s="1">
        <v>151243</v>
      </c>
      <c r="H568" s="1">
        <v>18</v>
      </c>
      <c r="I568" s="1" t="s">
        <v>81</v>
      </c>
      <c r="J568" s="1">
        <f>+Table2[[#This Row],[Ventas]]/Table2[[#This Row],[Cantidad]]</f>
        <v>8402.3888888888887</v>
      </c>
      <c r="K568" s="1" t="str">
        <f>+_xlfn.IFS(Table2[[#This Row],[Ventas]]&gt;200000,"Alta", Table2[[#This Row],[Ventas]]&gt;100000,"Media",TRUE,"Bajo")</f>
        <v>Media</v>
      </c>
    </row>
    <row r="569" spans="1:11" x14ac:dyDescent="0.25">
      <c r="A569" s="1" t="s">
        <v>102</v>
      </c>
      <c r="B569" s="1" t="s">
        <v>23</v>
      </c>
      <c r="C569" s="1" t="s">
        <v>84</v>
      </c>
      <c r="D569" s="1" t="s">
        <v>5</v>
      </c>
      <c r="E569" s="2">
        <v>42198.457638888889</v>
      </c>
      <c r="F569" s="1" t="s">
        <v>6</v>
      </c>
      <c r="G569" s="1">
        <v>234289</v>
      </c>
      <c r="H569" s="1">
        <v>31</v>
      </c>
      <c r="I569" s="1" t="s">
        <v>93</v>
      </c>
      <c r="J569" s="1">
        <f>+Table2[[#This Row],[Ventas]]/Table2[[#This Row],[Cantidad]]</f>
        <v>7557.7096774193551</v>
      </c>
      <c r="K569" s="1" t="str">
        <f>+_xlfn.IFS(Table2[[#This Row],[Ventas]]&gt;200000,"Alta", Table2[[#This Row],[Ventas]]&gt;100000,"Media",TRUE,"Bajo")</f>
        <v>Alta</v>
      </c>
    </row>
    <row r="570" spans="1:11" x14ac:dyDescent="0.25">
      <c r="A570" s="1" t="s">
        <v>102</v>
      </c>
      <c r="B570" s="1" t="s">
        <v>147</v>
      </c>
      <c r="C570" s="1" t="s">
        <v>92</v>
      </c>
      <c r="D570" s="1" t="s">
        <v>5</v>
      </c>
      <c r="E570" s="2">
        <v>42186.457638888889</v>
      </c>
      <c r="F570" s="1" t="s">
        <v>7</v>
      </c>
      <c r="G570" s="1">
        <v>206768</v>
      </c>
      <c r="H570" s="1">
        <v>25</v>
      </c>
      <c r="I570" s="1" t="s">
        <v>93</v>
      </c>
      <c r="J570" s="1">
        <f>+Table2[[#This Row],[Ventas]]/Table2[[#This Row],[Cantidad]]</f>
        <v>8270.7199999999993</v>
      </c>
      <c r="K570" s="1" t="str">
        <f>+_xlfn.IFS(Table2[[#This Row],[Ventas]]&gt;200000,"Alta", Table2[[#This Row],[Ventas]]&gt;100000,"Media",TRUE,"Bajo")</f>
        <v>Alta</v>
      </c>
    </row>
    <row r="571" spans="1:11" x14ac:dyDescent="0.25">
      <c r="A571" s="1" t="s">
        <v>102</v>
      </c>
      <c r="B571" s="1" t="s">
        <v>56</v>
      </c>
      <c r="C571" s="1" t="s">
        <v>88</v>
      </c>
      <c r="D571" s="1" t="s">
        <v>9</v>
      </c>
      <c r="E571" s="2">
        <v>42215.457638888889</v>
      </c>
      <c r="F571" s="1" t="s">
        <v>6</v>
      </c>
      <c r="G571" s="1">
        <v>174640</v>
      </c>
      <c r="H571" s="1">
        <v>39</v>
      </c>
      <c r="I571" s="1" t="s">
        <v>81</v>
      </c>
      <c r="J571" s="1">
        <f>+Table2[[#This Row],[Ventas]]/Table2[[#This Row],[Cantidad]]</f>
        <v>4477.9487179487178</v>
      </c>
      <c r="K571" s="1" t="str">
        <f>+_xlfn.IFS(Table2[[#This Row],[Ventas]]&gt;200000,"Alta", Table2[[#This Row],[Ventas]]&gt;100000,"Media",TRUE,"Bajo")</f>
        <v>Media</v>
      </c>
    </row>
    <row r="572" spans="1:11" x14ac:dyDescent="0.25">
      <c r="A572" s="1" t="s">
        <v>102</v>
      </c>
      <c r="B572" s="1" t="s">
        <v>51</v>
      </c>
      <c r="C572" s="1" t="s">
        <v>91</v>
      </c>
      <c r="D572" s="1" t="s">
        <v>9</v>
      </c>
      <c r="E572" s="2">
        <v>42190.457638888889</v>
      </c>
      <c r="F572" s="1" t="s">
        <v>6</v>
      </c>
      <c r="G572" s="1">
        <v>141749</v>
      </c>
      <c r="H572" s="1">
        <v>37</v>
      </c>
      <c r="I572" s="1" t="s">
        <v>82</v>
      </c>
      <c r="J572" s="1">
        <f>+Table2[[#This Row],[Ventas]]/Table2[[#This Row],[Cantidad]]</f>
        <v>3831.0540540540542</v>
      </c>
      <c r="K572" s="1" t="str">
        <f>+_xlfn.IFS(Table2[[#This Row],[Ventas]]&gt;200000,"Alta", Table2[[#This Row],[Ventas]]&gt;100000,"Media",TRUE,"Bajo")</f>
        <v>Media</v>
      </c>
    </row>
    <row r="573" spans="1:11" x14ac:dyDescent="0.25">
      <c r="A573" s="1" t="s">
        <v>102</v>
      </c>
      <c r="B573" s="1" t="s">
        <v>4</v>
      </c>
      <c r="C573" s="1" t="s">
        <v>92</v>
      </c>
      <c r="D573" s="1" t="s">
        <v>5</v>
      </c>
      <c r="E573" s="2">
        <v>42186.457638888889</v>
      </c>
      <c r="F573" s="1" t="s">
        <v>6</v>
      </c>
      <c r="G573" s="1">
        <v>228711</v>
      </c>
      <c r="H573" s="1">
        <v>22</v>
      </c>
      <c r="I573" s="1" t="s">
        <v>81</v>
      </c>
      <c r="J573" s="1">
        <f>+Table2[[#This Row],[Ventas]]/Table2[[#This Row],[Cantidad]]</f>
        <v>10395.954545454546</v>
      </c>
      <c r="K573" s="1" t="str">
        <f>+_xlfn.IFS(Table2[[#This Row],[Ventas]]&gt;200000,"Alta", Table2[[#This Row],[Ventas]]&gt;100000,"Media",TRUE,"Bajo")</f>
        <v>Alta</v>
      </c>
    </row>
    <row r="574" spans="1:11" x14ac:dyDescent="0.25">
      <c r="A574" s="1" t="s">
        <v>102</v>
      </c>
      <c r="B574" s="1" t="s">
        <v>147</v>
      </c>
      <c r="C574" s="1" t="s">
        <v>91</v>
      </c>
      <c r="D574" s="1" t="s">
        <v>9</v>
      </c>
      <c r="E574" s="2">
        <v>42186.457638888889</v>
      </c>
      <c r="F574" s="1" t="s">
        <v>6</v>
      </c>
      <c r="G574" s="1">
        <v>60934</v>
      </c>
      <c r="H574" s="1">
        <v>31</v>
      </c>
      <c r="I574" s="1" t="s">
        <v>79</v>
      </c>
      <c r="J574" s="1">
        <f>+Table2[[#This Row],[Ventas]]/Table2[[#This Row],[Cantidad]]</f>
        <v>1965.6129032258063</v>
      </c>
      <c r="K574" s="1" t="str">
        <f>+_xlfn.IFS(Table2[[#This Row],[Ventas]]&gt;200000,"Alta", Table2[[#This Row],[Ventas]]&gt;100000,"Media",TRUE,"Bajo")</f>
        <v>Bajo</v>
      </c>
    </row>
    <row r="575" spans="1:11" x14ac:dyDescent="0.25">
      <c r="A575" s="1" t="s">
        <v>102</v>
      </c>
      <c r="B575" s="1" t="s">
        <v>140</v>
      </c>
      <c r="C575" s="1" t="s">
        <v>88</v>
      </c>
      <c r="D575" s="1" t="s">
        <v>9</v>
      </c>
      <c r="E575" s="2">
        <v>42186.457638888889</v>
      </c>
      <c r="F575" s="1" t="s">
        <v>6</v>
      </c>
      <c r="G575" s="1">
        <v>128909</v>
      </c>
      <c r="H575" s="1">
        <v>29</v>
      </c>
      <c r="I575" s="1" t="s">
        <v>80</v>
      </c>
      <c r="J575" s="1">
        <f>+Table2[[#This Row],[Ventas]]/Table2[[#This Row],[Cantidad]]</f>
        <v>4445.1379310344828</v>
      </c>
      <c r="K575" s="1" t="str">
        <f>+_xlfn.IFS(Table2[[#This Row],[Ventas]]&gt;200000,"Alta", Table2[[#This Row],[Ventas]]&gt;100000,"Media",TRUE,"Bajo")</f>
        <v>Media</v>
      </c>
    </row>
    <row r="576" spans="1:11" x14ac:dyDescent="0.25">
      <c r="A576" s="1" t="s">
        <v>102</v>
      </c>
      <c r="B576" s="1" t="s">
        <v>140</v>
      </c>
      <c r="C576" s="1" t="s">
        <v>88</v>
      </c>
      <c r="D576" s="1" t="s">
        <v>9</v>
      </c>
      <c r="E576" s="2">
        <v>42186.457638888889</v>
      </c>
      <c r="F576" s="1" t="s">
        <v>6</v>
      </c>
      <c r="G576" s="1">
        <v>202750</v>
      </c>
      <c r="H576" s="1">
        <v>38</v>
      </c>
      <c r="I576" s="1" t="s">
        <v>80</v>
      </c>
      <c r="J576" s="1">
        <f>+Table2[[#This Row],[Ventas]]/Table2[[#This Row],[Cantidad]]</f>
        <v>5335.5263157894733</v>
      </c>
      <c r="K576" s="1" t="str">
        <f>+_xlfn.IFS(Table2[[#This Row],[Ventas]]&gt;200000,"Alta", Table2[[#This Row],[Ventas]]&gt;100000,"Media",TRUE,"Bajo")</f>
        <v>Alta</v>
      </c>
    </row>
    <row r="577" spans="1:11" x14ac:dyDescent="0.25">
      <c r="A577" s="1" t="s">
        <v>102</v>
      </c>
      <c r="B577" s="1" t="s">
        <v>144</v>
      </c>
      <c r="C577" s="1" t="s">
        <v>84</v>
      </c>
      <c r="D577" s="1" t="s">
        <v>5</v>
      </c>
      <c r="E577" s="2">
        <v>42186.457638888889</v>
      </c>
      <c r="F577" s="1" t="s">
        <v>12</v>
      </c>
      <c r="G577" s="1">
        <v>229554</v>
      </c>
      <c r="H577" s="1">
        <v>35</v>
      </c>
      <c r="I577" s="1" t="s">
        <v>80</v>
      </c>
      <c r="J577" s="1">
        <f>+Table2[[#This Row],[Ventas]]/Table2[[#This Row],[Cantidad]]</f>
        <v>6558.6857142857143</v>
      </c>
      <c r="K577" s="1" t="str">
        <f>+_xlfn.IFS(Table2[[#This Row],[Ventas]]&gt;200000,"Alta", Table2[[#This Row],[Ventas]]&gt;100000,"Media",TRUE,"Bajo")</f>
        <v>Alta</v>
      </c>
    </row>
    <row r="578" spans="1:11" x14ac:dyDescent="0.25">
      <c r="A578" s="1" t="s">
        <v>102</v>
      </c>
      <c r="B578" s="1" t="s">
        <v>148</v>
      </c>
      <c r="C578" s="1" t="s">
        <v>91</v>
      </c>
      <c r="D578" s="1" t="s">
        <v>9</v>
      </c>
      <c r="E578" s="2">
        <v>42193.457638888889</v>
      </c>
      <c r="F578" s="1" t="s">
        <v>7</v>
      </c>
      <c r="G578" s="1">
        <v>153522</v>
      </c>
      <c r="H578" s="1">
        <v>23</v>
      </c>
      <c r="I578" s="1" t="s">
        <v>81</v>
      </c>
      <c r="J578" s="1">
        <f>+Table2[[#This Row],[Ventas]]/Table2[[#This Row],[Cantidad]]</f>
        <v>6674.869565217391</v>
      </c>
      <c r="K578" s="1" t="str">
        <f>+_xlfn.IFS(Table2[[#This Row],[Ventas]]&gt;200000,"Alta", Table2[[#This Row],[Ventas]]&gt;100000,"Media",TRUE,"Bajo")</f>
        <v>Media</v>
      </c>
    </row>
    <row r="579" spans="1:11" x14ac:dyDescent="0.25">
      <c r="A579" s="1" t="s">
        <v>95</v>
      </c>
      <c r="B579" s="1" t="s">
        <v>119</v>
      </c>
      <c r="C579" s="1" t="s">
        <v>90</v>
      </c>
      <c r="D579" s="1" t="s">
        <v>9</v>
      </c>
      <c r="E579" s="2">
        <v>42522.457638888889</v>
      </c>
      <c r="F579" s="1" t="s">
        <v>7</v>
      </c>
      <c r="G579" s="1">
        <v>64470</v>
      </c>
      <c r="H579" s="1">
        <v>33</v>
      </c>
      <c r="I579" s="1" t="s">
        <v>79</v>
      </c>
      <c r="J579" s="1">
        <f>+Table2[[#This Row],[Ventas]]/Table2[[#This Row],[Cantidad]]</f>
        <v>1953.6363636363637</v>
      </c>
      <c r="K579" s="1" t="str">
        <f>+_xlfn.IFS(Table2[[#This Row],[Ventas]]&gt;200000,"Alta", Table2[[#This Row],[Ventas]]&gt;100000,"Media",TRUE,"Bajo")</f>
        <v>Bajo</v>
      </c>
    </row>
    <row r="580" spans="1:11" x14ac:dyDescent="0.25">
      <c r="A580" s="1" t="s">
        <v>95</v>
      </c>
      <c r="B580" s="1" t="s">
        <v>139</v>
      </c>
      <c r="C580" s="1" t="s">
        <v>90</v>
      </c>
      <c r="D580" s="1" t="s">
        <v>9</v>
      </c>
      <c r="E580" s="2">
        <v>42522.457638888889</v>
      </c>
      <c r="F580" s="1" t="s">
        <v>6</v>
      </c>
      <c r="G580" s="1">
        <v>103417</v>
      </c>
      <c r="H580" s="1">
        <v>23</v>
      </c>
      <c r="I580" s="1" t="s">
        <v>81</v>
      </c>
      <c r="J580" s="1">
        <f>+Table2[[#This Row],[Ventas]]/Table2[[#This Row],[Cantidad]]</f>
        <v>4496.391304347826</v>
      </c>
      <c r="K580" s="1" t="str">
        <f>+_xlfn.IFS(Table2[[#This Row],[Ventas]]&gt;200000,"Alta", Table2[[#This Row],[Ventas]]&gt;100000,"Media",TRUE,"Bajo")</f>
        <v>Media</v>
      </c>
    </row>
    <row r="581" spans="1:11" x14ac:dyDescent="0.25">
      <c r="A581" s="1" t="s">
        <v>96</v>
      </c>
      <c r="B581" s="1" t="s">
        <v>119</v>
      </c>
      <c r="C581" s="1" t="s">
        <v>90</v>
      </c>
      <c r="D581" s="1" t="s">
        <v>9</v>
      </c>
      <c r="E581" s="2">
        <v>42522.457638888889</v>
      </c>
      <c r="F581" s="1" t="s">
        <v>7</v>
      </c>
      <c r="G581" s="1">
        <v>246778</v>
      </c>
      <c r="H581" s="1">
        <v>25</v>
      </c>
      <c r="I581" s="1" t="s">
        <v>79</v>
      </c>
      <c r="J581" s="1">
        <f>+Table2[[#This Row],[Ventas]]/Table2[[#This Row],[Cantidad]]</f>
        <v>9871.1200000000008</v>
      </c>
      <c r="K581" s="1" t="str">
        <f>+_xlfn.IFS(Table2[[#This Row],[Ventas]]&gt;200000,"Alta", Table2[[#This Row],[Ventas]]&gt;100000,"Media",TRUE,"Bajo")</f>
        <v>Alta</v>
      </c>
    </row>
    <row r="582" spans="1:11" x14ac:dyDescent="0.25">
      <c r="A582" s="1" t="s">
        <v>96</v>
      </c>
      <c r="B582" s="1" t="s">
        <v>119</v>
      </c>
      <c r="C582" s="1" t="s">
        <v>90</v>
      </c>
      <c r="D582" s="1" t="s">
        <v>9</v>
      </c>
      <c r="E582" s="2">
        <v>42522.457638888889</v>
      </c>
      <c r="F582" s="1" t="s">
        <v>7</v>
      </c>
      <c r="G582" s="1">
        <v>97611</v>
      </c>
      <c r="H582" s="1">
        <v>32</v>
      </c>
      <c r="I582" s="1" t="s">
        <v>79</v>
      </c>
      <c r="J582" s="1">
        <f>+Table2[[#This Row],[Ventas]]/Table2[[#This Row],[Cantidad]]</f>
        <v>3050.34375</v>
      </c>
      <c r="K582" s="1" t="str">
        <f>+_xlfn.IFS(Table2[[#This Row],[Ventas]]&gt;200000,"Alta", Table2[[#This Row],[Ventas]]&gt;100000,"Media",TRUE,"Bajo")</f>
        <v>Bajo</v>
      </c>
    </row>
    <row r="583" spans="1:11" x14ac:dyDescent="0.25">
      <c r="A583" s="1" t="s">
        <v>97</v>
      </c>
      <c r="B583" s="1" t="s">
        <v>119</v>
      </c>
      <c r="C583" s="1" t="s">
        <v>90</v>
      </c>
      <c r="D583" s="1" t="s">
        <v>9</v>
      </c>
      <c r="E583" s="2">
        <v>42522.457638888889</v>
      </c>
      <c r="F583" s="1" t="s">
        <v>7</v>
      </c>
      <c r="G583" s="1">
        <v>87307</v>
      </c>
      <c r="H583" s="1">
        <v>34</v>
      </c>
      <c r="I583" s="1" t="s">
        <v>79</v>
      </c>
      <c r="J583" s="1">
        <f>+Table2[[#This Row],[Ventas]]/Table2[[#This Row],[Cantidad]]</f>
        <v>2567.8529411764707</v>
      </c>
      <c r="K583" s="1" t="str">
        <f>+_xlfn.IFS(Table2[[#This Row],[Ventas]]&gt;200000,"Alta", Table2[[#This Row],[Ventas]]&gt;100000,"Media",TRUE,"Bajo")</f>
        <v>Bajo</v>
      </c>
    </row>
    <row r="584" spans="1:11" x14ac:dyDescent="0.25">
      <c r="A584" s="1" t="s">
        <v>97</v>
      </c>
      <c r="B584" s="1" t="s">
        <v>110</v>
      </c>
      <c r="C584" s="1" t="s">
        <v>92</v>
      </c>
      <c r="D584" s="1" t="s">
        <v>5</v>
      </c>
      <c r="E584" s="2">
        <v>42551.457638888889</v>
      </c>
      <c r="F584" s="1" t="s">
        <v>6</v>
      </c>
      <c r="G584" s="1">
        <v>198264</v>
      </c>
      <c r="H584" s="1">
        <v>29</v>
      </c>
      <c r="I584" s="1" t="s">
        <v>80</v>
      </c>
      <c r="J584" s="1">
        <f>+Table2[[#This Row],[Ventas]]/Table2[[#This Row],[Cantidad]]</f>
        <v>6836.6896551724139</v>
      </c>
      <c r="K584" s="1" t="str">
        <f>+_xlfn.IFS(Table2[[#This Row],[Ventas]]&gt;200000,"Alta", Table2[[#This Row],[Ventas]]&gt;100000,"Media",TRUE,"Bajo")</f>
        <v>Media</v>
      </c>
    </row>
    <row r="585" spans="1:11" x14ac:dyDescent="0.25">
      <c r="A585" s="1" t="s">
        <v>98</v>
      </c>
      <c r="B585" s="1" t="s">
        <v>139</v>
      </c>
      <c r="C585" s="1" t="s">
        <v>90</v>
      </c>
      <c r="D585" s="1" t="s">
        <v>9</v>
      </c>
      <c r="E585" s="2">
        <v>42522.457638888889</v>
      </c>
      <c r="F585" s="1" t="s">
        <v>6</v>
      </c>
      <c r="G585" s="1">
        <v>223252</v>
      </c>
      <c r="H585" s="1">
        <v>28</v>
      </c>
      <c r="I585" s="1" t="s">
        <v>79</v>
      </c>
      <c r="J585" s="1">
        <f>+Table2[[#This Row],[Ventas]]/Table2[[#This Row],[Cantidad]]</f>
        <v>7973.2857142857147</v>
      </c>
      <c r="K585" s="1" t="str">
        <f>+_xlfn.IFS(Table2[[#This Row],[Ventas]]&gt;200000,"Alta", Table2[[#This Row],[Ventas]]&gt;100000,"Media",TRUE,"Bajo")</f>
        <v>Alta</v>
      </c>
    </row>
    <row r="586" spans="1:11" x14ac:dyDescent="0.25">
      <c r="A586" s="1" t="s">
        <v>98</v>
      </c>
      <c r="B586" s="1" t="s">
        <v>147</v>
      </c>
      <c r="C586" s="1" t="s">
        <v>92</v>
      </c>
      <c r="D586" s="1" t="s">
        <v>5</v>
      </c>
      <c r="E586" s="2">
        <v>42551.457638888889</v>
      </c>
      <c r="F586" s="1" t="s">
        <v>7</v>
      </c>
      <c r="G586" s="1">
        <v>67981</v>
      </c>
      <c r="H586" s="1">
        <v>29</v>
      </c>
      <c r="I586" s="1" t="s">
        <v>80</v>
      </c>
      <c r="J586" s="1">
        <f>+Table2[[#This Row],[Ventas]]/Table2[[#This Row],[Cantidad]]</f>
        <v>2344.1724137931033</v>
      </c>
      <c r="K586" s="1" t="str">
        <f>+_xlfn.IFS(Table2[[#This Row],[Ventas]]&gt;200000,"Alta", Table2[[#This Row],[Ventas]]&gt;100000,"Media",TRUE,"Bajo")</f>
        <v>Bajo</v>
      </c>
    </row>
    <row r="587" spans="1:11" x14ac:dyDescent="0.25">
      <c r="A587" s="1" t="s">
        <v>98</v>
      </c>
      <c r="B587" s="1" t="s">
        <v>119</v>
      </c>
      <c r="C587" s="1" t="s">
        <v>90</v>
      </c>
      <c r="D587" s="1" t="s">
        <v>9</v>
      </c>
      <c r="E587" s="2">
        <v>42522.457638888889</v>
      </c>
      <c r="F587" s="1" t="s">
        <v>7</v>
      </c>
      <c r="G587" s="1">
        <v>190313</v>
      </c>
      <c r="H587" s="1">
        <v>39</v>
      </c>
      <c r="I587" s="1" t="s">
        <v>79</v>
      </c>
      <c r="J587" s="1">
        <f>+Table2[[#This Row],[Ventas]]/Table2[[#This Row],[Cantidad]]</f>
        <v>4879.8205128205127</v>
      </c>
      <c r="K587" s="1" t="str">
        <f>+_xlfn.IFS(Table2[[#This Row],[Ventas]]&gt;200000,"Alta", Table2[[#This Row],[Ventas]]&gt;100000,"Media",TRUE,"Bajo")</f>
        <v>Media</v>
      </c>
    </row>
    <row r="588" spans="1:11" x14ac:dyDescent="0.25">
      <c r="A588" s="1" t="s">
        <v>98</v>
      </c>
      <c r="B588" s="1" t="s">
        <v>4</v>
      </c>
      <c r="C588" s="1" t="s">
        <v>92</v>
      </c>
      <c r="D588" s="1" t="s">
        <v>5</v>
      </c>
      <c r="E588" s="2">
        <v>42544.457638888889</v>
      </c>
      <c r="F588" s="1" t="s">
        <v>6</v>
      </c>
      <c r="G588" s="1">
        <v>86941</v>
      </c>
      <c r="H588" s="1">
        <v>38</v>
      </c>
      <c r="I588" s="1" t="s">
        <v>93</v>
      </c>
      <c r="J588" s="1">
        <f>+Table2[[#This Row],[Ventas]]/Table2[[#This Row],[Cantidad]]</f>
        <v>2287.9210526315787</v>
      </c>
      <c r="K588" s="1" t="str">
        <f>+_xlfn.IFS(Table2[[#This Row],[Ventas]]&gt;200000,"Alta", Table2[[#This Row],[Ventas]]&gt;100000,"Media",TRUE,"Bajo")</f>
        <v>Bajo</v>
      </c>
    </row>
    <row r="589" spans="1:11" x14ac:dyDescent="0.25">
      <c r="A589" s="1" t="s">
        <v>98</v>
      </c>
      <c r="B589" s="1" t="s">
        <v>139</v>
      </c>
      <c r="C589" s="1" t="s">
        <v>90</v>
      </c>
      <c r="D589" s="1" t="s">
        <v>9</v>
      </c>
      <c r="E589" s="2">
        <v>42522.457638888889</v>
      </c>
      <c r="F589" s="1" t="s">
        <v>6</v>
      </c>
      <c r="G589" s="1">
        <v>212428</v>
      </c>
      <c r="H589" s="1">
        <v>24</v>
      </c>
      <c r="I589" s="1" t="s">
        <v>81</v>
      </c>
      <c r="J589" s="1">
        <f>+Table2[[#This Row],[Ventas]]/Table2[[#This Row],[Cantidad]]</f>
        <v>8851.1666666666661</v>
      </c>
      <c r="K589" s="1" t="str">
        <f>+_xlfn.IFS(Table2[[#This Row],[Ventas]]&gt;200000,"Alta", Table2[[#This Row],[Ventas]]&gt;100000,"Media",TRUE,"Bajo")</f>
        <v>Alta</v>
      </c>
    </row>
    <row r="590" spans="1:11" x14ac:dyDescent="0.25">
      <c r="A590" s="1" t="s">
        <v>98</v>
      </c>
      <c r="B590" s="1" t="s">
        <v>139</v>
      </c>
      <c r="C590" s="1" t="s">
        <v>90</v>
      </c>
      <c r="D590" s="1" t="s">
        <v>9</v>
      </c>
      <c r="E590" s="2">
        <v>42522.457638888889</v>
      </c>
      <c r="F590" s="1" t="s">
        <v>6</v>
      </c>
      <c r="G590" s="1">
        <v>117311</v>
      </c>
      <c r="H590" s="1">
        <v>32</v>
      </c>
      <c r="I590" s="1" t="s">
        <v>79</v>
      </c>
      <c r="J590" s="1">
        <f>+Table2[[#This Row],[Ventas]]/Table2[[#This Row],[Cantidad]]</f>
        <v>3665.96875</v>
      </c>
      <c r="K590" s="1" t="str">
        <f>+_xlfn.IFS(Table2[[#This Row],[Ventas]]&gt;200000,"Alta", Table2[[#This Row],[Ventas]]&gt;100000,"Media",TRUE,"Bajo")</f>
        <v>Media</v>
      </c>
    </row>
    <row r="591" spans="1:11" x14ac:dyDescent="0.25">
      <c r="A591" s="1" t="s">
        <v>98</v>
      </c>
      <c r="B591" s="1" t="s">
        <v>41</v>
      </c>
      <c r="C591" s="1" t="s">
        <v>90</v>
      </c>
      <c r="D591" s="1" t="s">
        <v>9</v>
      </c>
      <c r="E591" s="2">
        <v>42522.457638888889</v>
      </c>
      <c r="F591" s="1" t="s">
        <v>6</v>
      </c>
      <c r="G591" s="1">
        <v>110235</v>
      </c>
      <c r="H591" s="1">
        <v>21</v>
      </c>
      <c r="I591" s="1" t="s">
        <v>79</v>
      </c>
      <c r="J591" s="1">
        <f>+Table2[[#This Row],[Ventas]]/Table2[[#This Row],[Cantidad]]</f>
        <v>5249.2857142857147</v>
      </c>
      <c r="K591" s="1" t="str">
        <f>+_xlfn.IFS(Table2[[#This Row],[Ventas]]&gt;200000,"Alta", Table2[[#This Row],[Ventas]]&gt;100000,"Media",TRUE,"Bajo")</f>
        <v>Media</v>
      </c>
    </row>
    <row r="592" spans="1:11" x14ac:dyDescent="0.25">
      <c r="A592" s="1" t="s">
        <v>98</v>
      </c>
      <c r="B592" s="1" t="s">
        <v>139</v>
      </c>
      <c r="C592" s="1" t="s">
        <v>90</v>
      </c>
      <c r="D592" s="1" t="s">
        <v>9</v>
      </c>
      <c r="E592" s="2">
        <v>42522.457638888889</v>
      </c>
      <c r="F592" s="1" t="s">
        <v>6</v>
      </c>
      <c r="G592" s="1">
        <v>69039</v>
      </c>
      <c r="H592" s="1">
        <v>34</v>
      </c>
      <c r="I592" s="1" t="s">
        <v>79</v>
      </c>
      <c r="J592" s="1">
        <f>+Table2[[#This Row],[Ventas]]/Table2[[#This Row],[Cantidad]]</f>
        <v>2030.5588235294117</v>
      </c>
      <c r="K592" s="1" t="str">
        <f>+_xlfn.IFS(Table2[[#This Row],[Ventas]]&gt;200000,"Alta", Table2[[#This Row],[Ventas]]&gt;100000,"Media",TRUE,"Bajo")</f>
        <v>Bajo</v>
      </c>
    </row>
    <row r="593" spans="1:11" x14ac:dyDescent="0.25">
      <c r="A593" s="1" t="s">
        <v>98</v>
      </c>
      <c r="B593" s="1" t="s">
        <v>139</v>
      </c>
      <c r="C593" s="1" t="s">
        <v>90</v>
      </c>
      <c r="D593" s="1" t="s">
        <v>9</v>
      </c>
      <c r="E593" s="2">
        <v>42522.457638888889</v>
      </c>
      <c r="F593" s="1" t="s">
        <v>6</v>
      </c>
      <c r="G593" s="1">
        <v>232708</v>
      </c>
      <c r="H593" s="1">
        <v>35</v>
      </c>
      <c r="I593" s="1" t="s">
        <v>80</v>
      </c>
      <c r="J593" s="1">
        <f>+Table2[[#This Row],[Ventas]]/Table2[[#This Row],[Cantidad]]</f>
        <v>6648.8</v>
      </c>
      <c r="K593" s="1" t="str">
        <f>+_xlfn.IFS(Table2[[#This Row],[Ventas]]&gt;200000,"Alta", Table2[[#This Row],[Ventas]]&gt;100000,"Media",TRUE,"Bajo")</f>
        <v>Alta</v>
      </c>
    </row>
    <row r="594" spans="1:11" x14ac:dyDescent="0.25">
      <c r="A594" s="1" t="s">
        <v>98</v>
      </c>
      <c r="B594" s="1" t="s">
        <v>141</v>
      </c>
      <c r="C594" s="1" t="s">
        <v>92</v>
      </c>
      <c r="D594" s="1" t="s">
        <v>5</v>
      </c>
      <c r="E594" s="2">
        <v>42529.457638888889</v>
      </c>
      <c r="F594" s="1" t="s">
        <v>6</v>
      </c>
      <c r="G594" s="1">
        <v>92420</v>
      </c>
      <c r="H594" s="1">
        <v>29</v>
      </c>
      <c r="I594" s="1" t="s">
        <v>93</v>
      </c>
      <c r="J594" s="1">
        <f>+Table2[[#This Row],[Ventas]]/Table2[[#This Row],[Cantidad]]</f>
        <v>3186.8965517241381</v>
      </c>
      <c r="K594" s="1" t="str">
        <f>+_xlfn.IFS(Table2[[#This Row],[Ventas]]&gt;200000,"Alta", Table2[[#This Row],[Ventas]]&gt;100000,"Media",TRUE,"Bajo")</f>
        <v>Bajo</v>
      </c>
    </row>
    <row r="595" spans="1:11" x14ac:dyDescent="0.25">
      <c r="A595" s="1" t="s">
        <v>98</v>
      </c>
      <c r="B595" s="1" t="s">
        <v>139</v>
      </c>
      <c r="C595" s="1" t="s">
        <v>90</v>
      </c>
      <c r="D595" s="1" t="s">
        <v>9</v>
      </c>
      <c r="E595" s="2">
        <v>42522.457638888889</v>
      </c>
      <c r="F595" s="1" t="s">
        <v>6</v>
      </c>
      <c r="G595" s="1">
        <v>232480</v>
      </c>
      <c r="H595" s="1">
        <v>42</v>
      </c>
      <c r="I595" s="1" t="s">
        <v>79</v>
      </c>
      <c r="J595" s="1">
        <f>+Table2[[#This Row],[Ventas]]/Table2[[#This Row],[Cantidad]]</f>
        <v>5535.2380952380954</v>
      </c>
      <c r="K595" s="1" t="str">
        <f>+_xlfn.IFS(Table2[[#This Row],[Ventas]]&gt;200000,"Alta", Table2[[#This Row],[Ventas]]&gt;100000,"Media",TRUE,"Bajo")</f>
        <v>Alta</v>
      </c>
    </row>
    <row r="596" spans="1:11" x14ac:dyDescent="0.25">
      <c r="A596" s="1" t="s">
        <v>99</v>
      </c>
      <c r="B596" s="1" t="s">
        <v>15</v>
      </c>
      <c r="C596" s="1" t="s">
        <v>92</v>
      </c>
      <c r="D596" s="1" t="s">
        <v>5</v>
      </c>
      <c r="E596" s="2">
        <v>42551.457638888889</v>
      </c>
      <c r="F596" s="1" t="s">
        <v>7</v>
      </c>
      <c r="G596" s="1">
        <v>220375</v>
      </c>
      <c r="H596" s="1">
        <v>34</v>
      </c>
      <c r="I596" s="1" t="s">
        <v>79</v>
      </c>
      <c r="J596" s="1">
        <f>+Table2[[#This Row],[Ventas]]/Table2[[#This Row],[Cantidad]]</f>
        <v>6481.6176470588234</v>
      </c>
      <c r="K596" s="1" t="str">
        <f>+_xlfn.IFS(Table2[[#This Row],[Ventas]]&gt;200000,"Alta", Table2[[#This Row],[Ventas]]&gt;100000,"Media",TRUE,"Bajo")</f>
        <v>Alta</v>
      </c>
    </row>
    <row r="597" spans="1:11" x14ac:dyDescent="0.25">
      <c r="A597" s="1" t="s">
        <v>99</v>
      </c>
      <c r="B597" s="1" t="s">
        <v>119</v>
      </c>
      <c r="C597" s="1" t="s">
        <v>90</v>
      </c>
      <c r="D597" s="1" t="s">
        <v>9</v>
      </c>
      <c r="E597" s="2">
        <v>42522.457638888889</v>
      </c>
      <c r="F597" s="1" t="s">
        <v>7</v>
      </c>
      <c r="G597" s="1">
        <v>230137</v>
      </c>
      <c r="H597" s="1">
        <v>20</v>
      </c>
      <c r="I597" s="1" t="s">
        <v>81</v>
      </c>
      <c r="J597" s="1">
        <f>+Table2[[#This Row],[Ventas]]/Table2[[#This Row],[Cantidad]]</f>
        <v>11506.85</v>
      </c>
      <c r="K597" s="1" t="str">
        <f>+_xlfn.IFS(Table2[[#This Row],[Ventas]]&gt;200000,"Alta", Table2[[#This Row],[Ventas]]&gt;100000,"Media",TRUE,"Bajo")</f>
        <v>Alta</v>
      </c>
    </row>
    <row r="598" spans="1:11" x14ac:dyDescent="0.25">
      <c r="A598" s="1" t="s">
        <v>99</v>
      </c>
      <c r="B598" s="1" t="s">
        <v>139</v>
      </c>
      <c r="C598" s="1" t="s">
        <v>90</v>
      </c>
      <c r="D598" s="1" t="s">
        <v>9</v>
      </c>
      <c r="E598" s="2">
        <v>42522.457638888889</v>
      </c>
      <c r="F598" s="1" t="s">
        <v>6</v>
      </c>
      <c r="G598" s="1">
        <v>79736</v>
      </c>
      <c r="H598" s="1">
        <v>27</v>
      </c>
      <c r="I598" s="1" t="s">
        <v>82</v>
      </c>
      <c r="J598" s="1">
        <f>+Table2[[#This Row],[Ventas]]/Table2[[#This Row],[Cantidad]]</f>
        <v>2953.1851851851852</v>
      </c>
      <c r="K598" s="1" t="str">
        <f>+_xlfn.IFS(Table2[[#This Row],[Ventas]]&gt;200000,"Alta", Table2[[#This Row],[Ventas]]&gt;100000,"Media",TRUE,"Bajo")</f>
        <v>Bajo</v>
      </c>
    </row>
    <row r="599" spans="1:11" x14ac:dyDescent="0.25">
      <c r="A599" s="1" t="s">
        <v>99</v>
      </c>
      <c r="B599" s="1" t="s">
        <v>147</v>
      </c>
      <c r="C599" s="1" t="s">
        <v>92</v>
      </c>
      <c r="D599" s="1" t="s">
        <v>5</v>
      </c>
      <c r="E599" s="2">
        <v>42551.457638888889</v>
      </c>
      <c r="F599" s="1" t="s">
        <v>7</v>
      </c>
      <c r="G599" s="1">
        <v>240803</v>
      </c>
      <c r="H599" s="1">
        <v>18</v>
      </c>
      <c r="I599" s="1" t="s">
        <v>80</v>
      </c>
      <c r="J599" s="1">
        <f>+Table2[[#This Row],[Ventas]]/Table2[[#This Row],[Cantidad]]</f>
        <v>13377.944444444445</v>
      </c>
      <c r="K599" s="1" t="str">
        <f>+_xlfn.IFS(Table2[[#This Row],[Ventas]]&gt;200000,"Alta", Table2[[#This Row],[Ventas]]&gt;100000,"Media",TRUE,"Bajo")</f>
        <v>Alta</v>
      </c>
    </row>
    <row r="600" spans="1:11" x14ac:dyDescent="0.25">
      <c r="A600" s="1" t="s">
        <v>99</v>
      </c>
      <c r="B600" s="1" t="s">
        <v>143</v>
      </c>
      <c r="C600" s="1" t="s">
        <v>92</v>
      </c>
      <c r="D600" s="1" t="s">
        <v>5</v>
      </c>
      <c r="E600" s="2">
        <v>42530.457638888889</v>
      </c>
      <c r="F600" s="1" t="s">
        <v>6</v>
      </c>
      <c r="G600" s="1">
        <v>109108</v>
      </c>
      <c r="H600" s="1">
        <v>19</v>
      </c>
      <c r="I600" s="1" t="s">
        <v>80</v>
      </c>
      <c r="J600" s="1">
        <f>+Table2[[#This Row],[Ventas]]/Table2[[#This Row],[Cantidad]]</f>
        <v>5742.5263157894733</v>
      </c>
      <c r="K600" s="1" t="str">
        <f>+_xlfn.IFS(Table2[[#This Row],[Ventas]]&gt;200000,"Alta", Table2[[#This Row],[Ventas]]&gt;100000,"Media",TRUE,"Bajo")</f>
        <v>Media</v>
      </c>
    </row>
    <row r="601" spans="1:11" x14ac:dyDescent="0.25">
      <c r="A601" s="1" t="s">
        <v>99</v>
      </c>
      <c r="B601" s="1" t="s">
        <v>119</v>
      </c>
      <c r="C601" s="1" t="s">
        <v>90</v>
      </c>
      <c r="D601" s="1" t="s">
        <v>9</v>
      </c>
      <c r="E601" s="2">
        <v>42522.457638888889</v>
      </c>
      <c r="F601" s="1" t="s">
        <v>7</v>
      </c>
      <c r="G601" s="1">
        <v>137267</v>
      </c>
      <c r="H601" s="1">
        <v>40</v>
      </c>
      <c r="I601" s="1" t="s">
        <v>79</v>
      </c>
      <c r="J601" s="1">
        <f>+Table2[[#This Row],[Ventas]]/Table2[[#This Row],[Cantidad]]</f>
        <v>3431.6750000000002</v>
      </c>
      <c r="K601" s="1" t="str">
        <f>+_xlfn.IFS(Table2[[#This Row],[Ventas]]&gt;200000,"Alta", Table2[[#This Row],[Ventas]]&gt;100000,"Media",TRUE,"Bajo")</f>
        <v>Media</v>
      </c>
    </row>
    <row r="602" spans="1:11" x14ac:dyDescent="0.25">
      <c r="A602" s="1" t="s">
        <v>99</v>
      </c>
      <c r="B602" s="1" t="s">
        <v>139</v>
      </c>
      <c r="C602" s="1" t="s">
        <v>90</v>
      </c>
      <c r="D602" s="1" t="s">
        <v>9</v>
      </c>
      <c r="E602" s="2">
        <v>42522.457638888889</v>
      </c>
      <c r="F602" s="1" t="s">
        <v>6</v>
      </c>
      <c r="G602" s="1">
        <v>84325</v>
      </c>
      <c r="H602" s="1">
        <v>21</v>
      </c>
      <c r="I602" s="1" t="s">
        <v>81</v>
      </c>
      <c r="J602" s="1">
        <f>+Table2[[#This Row],[Ventas]]/Table2[[#This Row],[Cantidad]]</f>
        <v>4015.4761904761904</v>
      </c>
      <c r="K602" s="1" t="str">
        <f>+_xlfn.IFS(Table2[[#This Row],[Ventas]]&gt;200000,"Alta", Table2[[#This Row],[Ventas]]&gt;100000,"Media",TRUE,"Bajo")</f>
        <v>Bajo</v>
      </c>
    </row>
    <row r="603" spans="1:11" x14ac:dyDescent="0.25">
      <c r="A603" s="1" t="s">
        <v>99</v>
      </c>
      <c r="B603" s="1" t="s">
        <v>23</v>
      </c>
      <c r="C603" s="1" t="s">
        <v>92</v>
      </c>
      <c r="D603" s="1" t="s">
        <v>5</v>
      </c>
      <c r="E603" s="2">
        <v>42536.457638888889</v>
      </c>
      <c r="F603" s="1" t="s">
        <v>6</v>
      </c>
      <c r="G603" s="1">
        <v>179250</v>
      </c>
      <c r="H603" s="1">
        <v>23</v>
      </c>
      <c r="I603" s="1" t="s">
        <v>93</v>
      </c>
      <c r="J603" s="1">
        <f>+Table2[[#This Row],[Ventas]]/Table2[[#This Row],[Cantidad]]</f>
        <v>7793.478260869565</v>
      </c>
      <c r="K603" s="1" t="str">
        <f>+_xlfn.IFS(Table2[[#This Row],[Ventas]]&gt;200000,"Alta", Table2[[#This Row],[Ventas]]&gt;100000,"Media",TRUE,"Bajo")</f>
        <v>Media</v>
      </c>
    </row>
    <row r="604" spans="1:11" x14ac:dyDescent="0.25">
      <c r="A604" s="1" t="s">
        <v>99</v>
      </c>
      <c r="B604" s="1" t="s">
        <v>119</v>
      </c>
      <c r="C604" s="1" t="s">
        <v>90</v>
      </c>
      <c r="D604" s="1" t="s">
        <v>9</v>
      </c>
      <c r="E604" s="2">
        <v>42522.457638888889</v>
      </c>
      <c r="F604" s="1" t="s">
        <v>7</v>
      </c>
      <c r="G604" s="1">
        <v>151335</v>
      </c>
      <c r="H604" s="1">
        <v>16</v>
      </c>
      <c r="I604" s="1" t="s">
        <v>80</v>
      </c>
      <c r="J604" s="1">
        <f>+Table2[[#This Row],[Ventas]]/Table2[[#This Row],[Cantidad]]</f>
        <v>9458.4375</v>
      </c>
      <c r="K604" s="1" t="str">
        <f>+_xlfn.IFS(Table2[[#This Row],[Ventas]]&gt;200000,"Alta", Table2[[#This Row],[Ventas]]&gt;100000,"Media",TRUE,"Bajo")</f>
        <v>Media</v>
      </c>
    </row>
    <row r="605" spans="1:11" x14ac:dyDescent="0.25">
      <c r="A605" s="1" t="s">
        <v>99</v>
      </c>
      <c r="B605" s="1" t="s">
        <v>119</v>
      </c>
      <c r="C605" s="1" t="s">
        <v>90</v>
      </c>
      <c r="D605" s="1" t="s">
        <v>9</v>
      </c>
      <c r="E605" s="2">
        <v>42522.457638888889</v>
      </c>
      <c r="F605" s="1" t="s">
        <v>7</v>
      </c>
      <c r="G605" s="1">
        <v>53918</v>
      </c>
      <c r="H605" s="1">
        <v>32</v>
      </c>
      <c r="I605" s="1" t="s">
        <v>82</v>
      </c>
      <c r="J605" s="1">
        <f>+Table2[[#This Row],[Ventas]]/Table2[[#This Row],[Cantidad]]</f>
        <v>1684.9375</v>
      </c>
      <c r="K605" s="1" t="str">
        <f>+_xlfn.IFS(Table2[[#This Row],[Ventas]]&gt;200000,"Alta", Table2[[#This Row],[Ventas]]&gt;100000,"Media",TRUE,"Bajo")</f>
        <v>Bajo</v>
      </c>
    </row>
    <row r="606" spans="1:11" x14ac:dyDescent="0.25">
      <c r="A606" s="1" t="s">
        <v>99</v>
      </c>
      <c r="B606" s="1" t="s">
        <v>139</v>
      </c>
      <c r="C606" s="1" t="s">
        <v>90</v>
      </c>
      <c r="D606" s="1" t="s">
        <v>9</v>
      </c>
      <c r="E606" s="2">
        <v>42522.457638888889</v>
      </c>
      <c r="F606" s="1" t="s">
        <v>6</v>
      </c>
      <c r="G606" s="1">
        <v>230011</v>
      </c>
      <c r="H606" s="1">
        <v>39</v>
      </c>
      <c r="I606" s="1" t="s">
        <v>79</v>
      </c>
      <c r="J606" s="1">
        <f>+Table2[[#This Row],[Ventas]]/Table2[[#This Row],[Cantidad]]</f>
        <v>5897.7179487179483</v>
      </c>
      <c r="K606" s="1" t="str">
        <f>+_xlfn.IFS(Table2[[#This Row],[Ventas]]&gt;200000,"Alta", Table2[[#This Row],[Ventas]]&gt;100000,"Media",TRUE,"Bajo")</f>
        <v>Alta</v>
      </c>
    </row>
    <row r="607" spans="1:11" x14ac:dyDescent="0.25">
      <c r="A607" s="1" t="s">
        <v>99</v>
      </c>
      <c r="B607" s="1" t="s">
        <v>119</v>
      </c>
      <c r="C607" s="1" t="s">
        <v>90</v>
      </c>
      <c r="D607" s="1" t="s">
        <v>9</v>
      </c>
      <c r="E607" s="2">
        <v>42522.457638888889</v>
      </c>
      <c r="F607" s="1" t="s">
        <v>7</v>
      </c>
      <c r="G607" s="1">
        <v>93244</v>
      </c>
      <c r="H607" s="1">
        <v>33</v>
      </c>
      <c r="I607" s="1" t="s">
        <v>79</v>
      </c>
      <c r="J607" s="1">
        <f>+Table2[[#This Row],[Ventas]]/Table2[[#This Row],[Cantidad]]</f>
        <v>2825.5757575757575</v>
      </c>
      <c r="K607" s="1" t="str">
        <f>+_xlfn.IFS(Table2[[#This Row],[Ventas]]&gt;200000,"Alta", Table2[[#This Row],[Ventas]]&gt;100000,"Media",TRUE,"Bajo")</f>
        <v>Bajo</v>
      </c>
    </row>
    <row r="608" spans="1:11" x14ac:dyDescent="0.25">
      <c r="A608" s="1" t="s">
        <v>99</v>
      </c>
      <c r="B608" s="1" t="s">
        <v>119</v>
      </c>
      <c r="C608" s="1" t="s">
        <v>90</v>
      </c>
      <c r="D608" s="1" t="s">
        <v>9</v>
      </c>
      <c r="E608" s="2">
        <v>42522.457638888889</v>
      </c>
      <c r="F608" s="1" t="s">
        <v>7</v>
      </c>
      <c r="G608" s="1">
        <v>207045</v>
      </c>
      <c r="H608" s="1">
        <v>24</v>
      </c>
      <c r="I608" s="1" t="s">
        <v>81</v>
      </c>
      <c r="J608" s="1">
        <f>+Table2[[#This Row],[Ventas]]/Table2[[#This Row],[Cantidad]]</f>
        <v>8626.875</v>
      </c>
      <c r="K608" s="1" t="str">
        <f>+_xlfn.IFS(Table2[[#This Row],[Ventas]]&gt;200000,"Alta", Table2[[#This Row],[Ventas]]&gt;100000,"Media",TRUE,"Bajo")</f>
        <v>Alta</v>
      </c>
    </row>
    <row r="609" spans="1:11" x14ac:dyDescent="0.25">
      <c r="A609" s="1" t="s">
        <v>99</v>
      </c>
      <c r="B609" s="1" t="s">
        <v>139</v>
      </c>
      <c r="C609" s="1" t="s">
        <v>90</v>
      </c>
      <c r="D609" s="1" t="s">
        <v>9</v>
      </c>
      <c r="E609" s="2">
        <v>42522.457638888889</v>
      </c>
      <c r="F609" s="1" t="s">
        <v>6</v>
      </c>
      <c r="G609" s="1">
        <v>229982</v>
      </c>
      <c r="H609" s="1">
        <v>42</v>
      </c>
      <c r="I609" s="1" t="s">
        <v>81</v>
      </c>
      <c r="J609" s="1">
        <f>+Table2[[#This Row],[Ventas]]/Table2[[#This Row],[Cantidad]]</f>
        <v>5475.7619047619046</v>
      </c>
      <c r="K609" s="1" t="str">
        <f>+_xlfn.IFS(Table2[[#This Row],[Ventas]]&gt;200000,"Alta", Table2[[#This Row],[Ventas]]&gt;100000,"Media",TRUE,"Bajo")</f>
        <v>Alta</v>
      </c>
    </row>
    <row r="610" spans="1:11" x14ac:dyDescent="0.25">
      <c r="A610" s="1" t="s">
        <v>99</v>
      </c>
      <c r="B610" s="1" t="s">
        <v>139</v>
      </c>
      <c r="C610" s="1" t="s">
        <v>90</v>
      </c>
      <c r="D610" s="1" t="s">
        <v>9</v>
      </c>
      <c r="E610" s="2">
        <v>42522.457638888889</v>
      </c>
      <c r="F610" s="1" t="s">
        <v>6</v>
      </c>
      <c r="G610" s="1">
        <v>91418</v>
      </c>
      <c r="H610" s="1">
        <v>26</v>
      </c>
      <c r="I610" s="1" t="s">
        <v>79</v>
      </c>
      <c r="J610" s="1">
        <f>+Table2[[#This Row],[Ventas]]/Table2[[#This Row],[Cantidad]]</f>
        <v>3516.0769230769229</v>
      </c>
      <c r="K610" s="1" t="str">
        <f>+_xlfn.IFS(Table2[[#This Row],[Ventas]]&gt;200000,"Alta", Table2[[#This Row],[Ventas]]&gt;100000,"Media",TRUE,"Bajo")</f>
        <v>Bajo</v>
      </c>
    </row>
    <row r="611" spans="1:11" x14ac:dyDescent="0.25">
      <c r="A611" s="1" t="s">
        <v>99</v>
      </c>
      <c r="B611" s="1" t="s">
        <v>139</v>
      </c>
      <c r="C611" s="1" t="s">
        <v>90</v>
      </c>
      <c r="D611" s="1" t="s">
        <v>9</v>
      </c>
      <c r="E611" s="2">
        <v>42522.457638888889</v>
      </c>
      <c r="F611" s="1" t="s">
        <v>6</v>
      </c>
      <c r="G611" s="1">
        <v>109295</v>
      </c>
      <c r="H611" s="1">
        <v>25</v>
      </c>
      <c r="I611" s="1" t="s">
        <v>79</v>
      </c>
      <c r="J611" s="1">
        <f>+Table2[[#This Row],[Ventas]]/Table2[[#This Row],[Cantidad]]</f>
        <v>4371.8</v>
      </c>
      <c r="K611" s="1" t="str">
        <f>+_xlfn.IFS(Table2[[#This Row],[Ventas]]&gt;200000,"Alta", Table2[[#This Row],[Ventas]]&gt;100000,"Media",TRUE,"Bajo")</f>
        <v>Media</v>
      </c>
    </row>
    <row r="612" spans="1:11" x14ac:dyDescent="0.25">
      <c r="A612" s="1" t="s">
        <v>99</v>
      </c>
      <c r="B612" s="1" t="s">
        <v>139</v>
      </c>
      <c r="C612" s="1" t="s">
        <v>90</v>
      </c>
      <c r="D612" s="1" t="s">
        <v>9</v>
      </c>
      <c r="E612" s="2">
        <v>42522.457638888889</v>
      </c>
      <c r="F612" s="1" t="s">
        <v>6</v>
      </c>
      <c r="G612" s="1">
        <v>175214</v>
      </c>
      <c r="H612" s="1">
        <v>34</v>
      </c>
      <c r="I612" s="1" t="s">
        <v>80</v>
      </c>
      <c r="J612" s="1">
        <f>+Table2[[#This Row],[Ventas]]/Table2[[#This Row],[Cantidad]]</f>
        <v>5153.3529411764703</v>
      </c>
      <c r="K612" s="1" t="str">
        <f>+_xlfn.IFS(Table2[[#This Row],[Ventas]]&gt;200000,"Alta", Table2[[#This Row],[Ventas]]&gt;100000,"Media",TRUE,"Bajo")</f>
        <v>Media</v>
      </c>
    </row>
    <row r="613" spans="1:11" x14ac:dyDescent="0.25">
      <c r="A613" s="1" t="s">
        <v>99</v>
      </c>
      <c r="B613" s="1" t="s">
        <v>139</v>
      </c>
      <c r="C613" s="1" t="s">
        <v>90</v>
      </c>
      <c r="D613" s="1" t="s">
        <v>9</v>
      </c>
      <c r="E613" s="2">
        <v>42522.457638888889</v>
      </c>
      <c r="F613" s="1" t="s">
        <v>6</v>
      </c>
      <c r="G613" s="1">
        <v>227601</v>
      </c>
      <c r="H613" s="1">
        <v>21</v>
      </c>
      <c r="I613" s="1" t="s">
        <v>79</v>
      </c>
      <c r="J613" s="1">
        <f>+Table2[[#This Row],[Ventas]]/Table2[[#This Row],[Cantidad]]</f>
        <v>10838.142857142857</v>
      </c>
      <c r="K613" s="1" t="str">
        <f>+_xlfn.IFS(Table2[[#This Row],[Ventas]]&gt;200000,"Alta", Table2[[#This Row],[Ventas]]&gt;100000,"Media",TRUE,"Bajo")</f>
        <v>Alta</v>
      </c>
    </row>
    <row r="614" spans="1:11" x14ac:dyDescent="0.25">
      <c r="A614" s="1" t="s">
        <v>100</v>
      </c>
      <c r="B614" s="1" t="s">
        <v>119</v>
      </c>
      <c r="C614" s="1" t="s">
        <v>90</v>
      </c>
      <c r="D614" s="1" t="s">
        <v>9</v>
      </c>
      <c r="E614" s="2">
        <v>42522.457638888889</v>
      </c>
      <c r="F614" s="1" t="s">
        <v>7</v>
      </c>
      <c r="G614" s="1">
        <v>152397</v>
      </c>
      <c r="H614" s="1">
        <v>23</v>
      </c>
      <c r="I614" s="1" t="s">
        <v>81</v>
      </c>
      <c r="J614" s="1">
        <f>+Table2[[#This Row],[Ventas]]/Table2[[#This Row],[Cantidad]]</f>
        <v>6625.95652173913</v>
      </c>
      <c r="K614" s="1" t="str">
        <f>+_xlfn.IFS(Table2[[#This Row],[Ventas]]&gt;200000,"Alta", Table2[[#This Row],[Ventas]]&gt;100000,"Media",TRUE,"Bajo")</f>
        <v>Media</v>
      </c>
    </row>
    <row r="615" spans="1:11" x14ac:dyDescent="0.25">
      <c r="A615" s="1" t="s">
        <v>100</v>
      </c>
      <c r="B615" s="1" t="s">
        <v>119</v>
      </c>
      <c r="C615" s="1" t="s">
        <v>90</v>
      </c>
      <c r="D615" s="1" t="s">
        <v>9</v>
      </c>
      <c r="E615" s="2">
        <v>42522.457638888889</v>
      </c>
      <c r="F615" s="1" t="s">
        <v>7</v>
      </c>
      <c r="G615" s="1">
        <v>55680</v>
      </c>
      <c r="H615" s="1">
        <v>38</v>
      </c>
      <c r="I615" s="1" t="s">
        <v>81</v>
      </c>
      <c r="J615" s="1">
        <f>+Table2[[#This Row],[Ventas]]/Table2[[#This Row],[Cantidad]]</f>
        <v>1465.2631578947369</v>
      </c>
      <c r="K615" s="1" t="str">
        <f>+_xlfn.IFS(Table2[[#This Row],[Ventas]]&gt;200000,"Alta", Table2[[#This Row],[Ventas]]&gt;100000,"Media",TRUE,"Bajo")</f>
        <v>Bajo</v>
      </c>
    </row>
    <row r="616" spans="1:11" x14ac:dyDescent="0.25">
      <c r="A616" s="1" t="s">
        <v>100</v>
      </c>
      <c r="B616" s="1" t="s">
        <v>139</v>
      </c>
      <c r="C616" s="1" t="s">
        <v>90</v>
      </c>
      <c r="D616" s="1" t="s">
        <v>9</v>
      </c>
      <c r="E616" s="2">
        <v>42522.457638888889</v>
      </c>
      <c r="F616" s="1" t="s">
        <v>6</v>
      </c>
      <c r="G616" s="1">
        <v>59189</v>
      </c>
      <c r="H616" s="1">
        <v>19</v>
      </c>
      <c r="I616" s="1" t="s">
        <v>79</v>
      </c>
      <c r="J616" s="1">
        <f>+Table2[[#This Row],[Ventas]]/Table2[[#This Row],[Cantidad]]</f>
        <v>3115.2105263157896</v>
      </c>
      <c r="K616" s="1" t="str">
        <f>+_xlfn.IFS(Table2[[#This Row],[Ventas]]&gt;200000,"Alta", Table2[[#This Row],[Ventas]]&gt;100000,"Media",TRUE,"Bajo")</f>
        <v>Bajo</v>
      </c>
    </row>
    <row r="617" spans="1:11" x14ac:dyDescent="0.25">
      <c r="A617" s="1" t="s">
        <v>100</v>
      </c>
      <c r="B617" s="1" t="s">
        <v>41</v>
      </c>
      <c r="C617" s="1" t="s">
        <v>90</v>
      </c>
      <c r="D617" s="1" t="s">
        <v>9</v>
      </c>
      <c r="E617" s="2">
        <v>42522.457638888889</v>
      </c>
      <c r="F617" s="1" t="s">
        <v>6</v>
      </c>
      <c r="G617" s="1">
        <v>209422</v>
      </c>
      <c r="H617" s="1">
        <v>16</v>
      </c>
      <c r="I617" s="1" t="s">
        <v>79</v>
      </c>
      <c r="J617" s="1">
        <f>+Table2[[#This Row],[Ventas]]/Table2[[#This Row],[Cantidad]]</f>
        <v>13088.875</v>
      </c>
      <c r="K617" s="1" t="str">
        <f>+_xlfn.IFS(Table2[[#This Row],[Ventas]]&gt;200000,"Alta", Table2[[#This Row],[Ventas]]&gt;100000,"Media",TRUE,"Bajo")</f>
        <v>Alta</v>
      </c>
    </row>
    <row r="618" spans="1:11" x14ac:dyDescent="0.25">
      <c r="A618" s="1" t="s">
        <v>101</v>
      </c>
      <c r="B618" s="1" t="s">
        <v>119</v>
      </c>
      <c r="C618" s="1" t="s">
        <v>90</v>
      </c>
      <c r="D618" s="1" t="s">
        <v>9</v>
      </c>
      <c r="E618" s="2">
        <v>42522.457638888889</v>
      </c>
      <c r="F618" s="1" t="s">
        <v>7</v>
      </c>
      <c r="G618" s="1">
        <v>53978</v>
      </c>
      <c r="H618" s="1">
        <v>19</v>
      </c>
      <c r="I618" s="1" t="s">
        <v>79</v>
      </c>
      <c r="J618" s="1">
        <f>+Table2[[#This Row],[Ventas]]/Table2[[#This Row],[Cantidad]]</f>
        <v>2840.9473684210525</v>
      </c>
      <c r="K618" s="1" t="str">
        <f>+_xlfn.IFS(Table2[[#This Row],[Ventas]]&gt;200000,"Alta", Table2[[#This Row],[Ventas]]&gt;100000,"Media",TRUE,"Bajo")</f>
        <v>Bajo</v>
      </c>
    </row>
    <row r="619" spans="1:11" x14ac:dyDescent="0.25">
      <c r="A619" s="1" t="s">
        <v>101</v>
      </c>
      <c r="B619" s="1" t="s">
        <v>139</v>
      </c>
      <c r="C619" s="1" t="s">
        <v>90</v>
      </c>
      <c r="D619" s="1" t="s">
        <v>9</v>
      </c>
      <c r="E619" s="2">
        <v>42522.457638888889</v>
      </c>
      <c r="F619" s="1" t="s">
        <v>6</v>
      </c>
      <c r="G619" s="1">
        <v>197094</v>
      </c>
      <c r="H619" s="1">
        <v>29</v>
      </c>
      <c r="I619" s="1" t="s">
        <v>79</v>
      </c>
      <c r="J619" s="1">
        <f>+Table2[[#This Row],[Ventas]]/Table2[[#This Row],[Cantidad]]</f>
        <v>6796.3448275862065</v>
      </c>
      <c r="K619" s="1" t="str">
        <f>+_xlfn.IFS(Table2[[#This Row],[Ventas]]&gt;200000,"Alta", Table2[[#This Row],[Ventas]]&gt;100000,"Media",TRUE,"Bajo")</f>
        <v>Media</v>
      </c>
    </row>
    <row r="620" spans="1:11" x14ac:dyDescent="0.25">
      <c r="A620" s="1" t="s">
        <v>101</v>
      </c>
      <c r="B620" s="1" t="s">
        <v>143</v>
      </c>
      <c r="C620" s="1" t="s">
        <v>92</v>
      </c>
      <c r="D620" s="1" t="s">
        <v>5</v>
      </c>
      <c r="E620" s="2">
        <v>42551.457638888889</v>
      </c>
      <c r="F620" s="1" t="s">
        <v>6</v>
      </c>
      <c r="G620" s="1">
        <v>154972</v>
      </c>
      <c r="H620" s="1">
        <v>26</v>
      </c>
      <c r="I620" s="1" t="s">
        <v>80</v>
      </c>
      <c r="J620" s="1">
        <f>+Table2[[#This Row],[Ventas]]/Table2[[#This Row],[Cantidad]]</f>
        <v>5960.4615384615381</v>
      </c>
      <c r="K620" s="1" t="str">
        <f>+_xlfn.IFS(Table2[[#This Row],[Ventas]]&gt;200000,"Alta", Table2[[#This Row],[Ventas]]&gt;100000,"Media",TRUE,"Bajo")</f>
        <v>Media</v>
      </c>
    </row>
    <row r="621" spans="1:11" x14ac:dyDescent="0.25">
      <c r="A621" s="1" t="s">
        <v>101</v>
      </c>
      <c r="B621" s="1" t="s">
        <v>139</v>
      </c>
      <c r="C621" s="1" t="s">
        <v>90</v>
      </c>
      <c r="D621" s="1" t="s">
        <v>9</v>
      </c>
      <c r="E621" s="2">
        <v>42522.457638888889</v>
      </c>
      <c r="F621" s="1" t="s">
        <v>6</v>
      </c>
      <c r="G621" s="1">
        <v>124202</v>
      </c>
      <c r="H621" s="1">
        <v>21</v>
      </c>
      <c r="I621" s="1" t="s">
        <v>81</v>
      </c>
      <c r="J621" s="1">
        <f>+Table2[[#This Row],[Ventas]]/Table2[[#This Row],[Cantidad]]</f>
        <v>5914.3809523809523</v>
      </c>
      <c r="K621" s="1" t="str">
        <f>+_xlfn.IFS(Table2[[#This Row],[Ventas]]&gt;200000,"Alta", Table2[[#This Row],[Ventas]]&gt;100000,"Media",TRUE,"Bajo")</f>
        <v>Media</v>
      </c>
    </row>
    <row r="622" spans="1:11" x14ac:dyDescent="0.25">
      <c r="A622" s="1" t="s">
        <v>101</v>
      </c>
      <c r="B622" s="1" t="s">
        <v>139</v>
      </c>
      <c r="C622" s="1" t="s">
        <v>90</v>
      </c>
      <c r="D622" s="1" t="s">
        <v>9</v>
      </c>
      <c r="E622" s="2">
        <v>42522.457638888889</v>
      </c>
      <c r="F622" s="1" t="s">
        <v>6</v>
      </c>
      <c r="G622" s="1">
        <v>181232</v>
      </c>
      <c r="H622" s="1">
        <v>30</v>
      </c>
      <c r="I622" s="1" t="s">
        <v>79</v>
      </c>
      <c r="J622" s="1">
        <f>+Table2[[#This Row],[Ventas]]/Table2[[#This Row],[Cantidad]]</f>
        <v>6041.0666666666666</v>
      </c>
      <c r="K622" s="1" t="str">
        <f>+_xlfn.IFS(Table2[[#This Row],[Ventas]]&gt;200000,"Alta", Table2[[#This Row],[Ventas]]&gt;100000,"Media",TRUE,"Bajo")</f>
        <v>Media</v>
      </c>
    </row>
    <row r="623" spans="1:11" x14ac:dyDescent="0.25">
      <c r="A623" s="1" t="s">
        <v>101</v>
      </c>
      <c r="B623" s="1" t="s">
        <v>139</v>
      </c>
      <c r="C623" s="1" t="s">
        <v>90</v>
      </c>
      <c r="D623" s="1" t="s">
        <v>9</v>
      </c>
      <c r="E623" s="2">
        <v>42522.457638888889</v>
      </c>
      <c r="F623" s="1" t="s">
        <v>6</v>
      </c>
      <c r="G623" s="1">
        <v>101777</v>
      </c>
      <c r="H623" s="1">
        <v>39</v>
      </c>
      <c r="I623" s="1" t="s">
        <v>79</v>
      </c>
      <c r="J623" s="1">
        <f>+Table2[[#This Row],[Ventas]]/Table2[[#This Row],[Cantidad]]</f>
        <v>2609.6666666666665</v>
      </c>
      <c r="K623" s="1" t="str">
        <f>+_xlfn.IFS(Table2[[#This Row],[Ventas]]&gt;200000,"Alta", Table2[[#This Row],[Ventas]]&gt;100000,"Media",TRUE,"Bajo")</f>
        <v>Media</v>
      </c>
    </row>
    <row r="624" spans="1:11" x14ac:dyDescent="0.25">
      <c r="A624" s="1" t="s">
        <v>101</v>
      </c>
      <c r="B624" s="1" t="s">
        <v>41</v>
      </c>
      <c r="C624" s="1" t="s">
        <v>90</v>
      </c>
      <c r="D624" s="1" t="s">
        <v>9</v>
      </c>
      <c r="E624" s="2">
        <v>42522.457638888889</v>
      </c>
      <c r="F624" s="1" t="s">
        <v>6</v>
      </c>
      <c r="G624" s="1">
        <v>180470</v>
      </c>
      <c r="H624" s="1">
        <v>17</v>
      </c>
      <c r="I624" s="1" t="s">
        <v>80</v>
      </c>
      <c r="J624" s="1">
        <f>+Table2[[#This Row],[Ventas]]/Table2[[#This Row],[Cantidad]]</f>
        <v>10615.882352941177</v>
      </c>
      <c r="K624" s="1" t="str">
        <f>+_xlfn.IFS(Table2[[#This Row],[Ventas]]&gt;200000,"Alta", Table2[[#This Row],[Ventas]]&gt;100000,"Media",TRUE,"Bajo")</f>
        <v>Media</v>
      </c>
    </row>
    <row r="625" spans="1:11" x14ac:dyDescent="0.25">
      <c r="A625" s="1" t="s">
        <v>102</v>
      </c>
      <c r="B625" s="1" t="s">
        <v>15</v>
      </c>
      <c r="C625" s="1" t="s">
        <v>92</v>
      </c>
      <c r="D625" s="1" t="s">
        <v>5</v>
      </c>
      <c r="E625" s="2">
        <v>42551.457638888889</v>
      </c>
      <c r="F625" s="1" t="s">
        <v>7</v>
      </c>
      <c r="G625" s="1">
        <v>86311</v>
      </c>
      <c r="H625" s="1">
        <v>18</v>
      </c>
      <c r="I625" s="1" t="s">
        <v>80</v>
      </c>
      <c r="J625" s="1">
        <f>+Table2[[#This Row],[Ventas]]/Table2[[#This Row],[Cantidad]]</f>
        <v>4795.0555555555557</v>
      </c>
      <c r="K625" s="1" t="str">
        <f>+_xlfn.IFS(Table2[[#This Row],[Ventas]]&gt;200000,"Alta", Table2[[#This Row],[Ventas]]&gt;100000,"Media",TRUE,"Bajo")</f>
        <v>Bajo</v>
      </c>
    </row>
    <row r="626" spans="1:11" x14ac:dyDescent="0.25">
      <c r="A626" s="1" t="s">
        <v>102</v>
      </c>
      <c r="B626" s="1" t="s">
        <v>41</v>
      </c>
      <c r="C626" s="1" t="s">
        <v>90</v>
      </c>
      <c r="D626" s="1" t="s">
        <v>9</v>
      </c>
      <c r="E626" s="2">
        <v>42522.457638888889</v>
      </c>
      <c r="F626" s="1" t="s">
        <v>6</v>
      </c>
      <c r="G626" s="1">
        <v>110468</v>
      </c>
      <c r="H626" s="1">
        <v>27</v>
      </c>
      <c r="I626" s="1" t="s">
        <v>81</v>
      </c>
      <c r="J626" s="1">
        <f>+Table2[[#This Row],[Ventas]]/Table2[[#This Row],[Cantidad]]</f>
        <v>4091.4074074074074</v>
      </c>
      <c r="K626" s="1" t="str">
        <f>+_xlfn.IFS(Table2[[#This Row],[Ventas]]&gt;200000,"Alta", Table2[[#This Row],[Ventas]]&gt;100000,"Media",TRUE,"Bajo")</f>
        <v>Media</v>
      </c>
    </row>
    <row r="627" spans="1:11" x14ac:dyDescent="0.25">
      <c r="A627" s="1" t="s">
        <v>102</v>
      </c>
      <c r="B627" s="1" t="s">
        <v>139</v>
      </c>
      <c r="C627" s="1" t="s">
        <v>90</v>
      </c>
      <c r="D627" s="1" t="s">
        <v>9</v>
      </c>
      <c r="E627" s="2">
        <v>42522.457638888889</v>
      </c>
      <c r="F627" s="1" t="s">
        <v>6</v>
      </c>
      <c r="G627" s="1">
        <v>131273</v>
      </c>
      <c r="H627" s="1">
        <v>40</v>
      </c>
      <c r="I627" s="1" t="s">
        <v>79</v>
      </c>
      <c r="J627" s="1">
        <f>+Table2[[#This Row],[Ventas]]/Table2[[#This Row],[Cantidad]]</f>
        <v>3281.8249999999998</v>
      </c>
      <c r="K627" s="1" t="str">
        <f>+_xlfn.IFS(Table2[[#This Row],[Ventas]]&gt;200000,"Alta", Table2[[#This Row],[Ventas]]&gt;100000,"Media",TRUE,"Bajo")</f>
        <v>Media</v>
      </c>
    </row>
    <row r="628" spans="1:11" x14ac:dyDescent="0.25">
      <c r="A628" s="1" t="s">
        <v>102</v>
      </c>
      <c r="B628" s="1" t="s">
        <v>119</v>
      </c>
      <c r="C628" s="1" t="s">
        <v>90</v>
      </c>
      <c r="D628" s="1" t="s">
        <v>9</v>
      </c>
      <c r="E628" s="2">
        <v>42522.457638888889</v>
      </c>
      <c r="F628" s="1" t="s">
        <v>7</v>
      </c>
      <c r="G628" s="1">
        <v>106806</v>
      </c>
      <c r="H628" s="1">
        <v>24</v>
      </c>
      <c r="I628" s="1" t="s">
        <v>81</v>
      </c>
      <c r="J628" s="1">
        <f>+Table2[[#This Row],[Ventas]]/Table2[[#This Row],[Cantidad]]</f>
        <v>4450.25</v>
      </c>
      <c r="K628" s="1" t="str">
        <f>+_xlfn.IFS(Table2[[#This Row],[Ventas]]&gt;200000,"Alta", Table2[[#This Row],[Ventas]]&gt;100000,"Media",TRUE,"Bajo")</f>
        <v>Media</v>
      </c>
    </row>
    <row r="629" spans="1:11" x14ac:dyDescent="0.25">
      <c r="A629" s="1" t="s">
        <v>102</v>
      </c>
      <c r="B629" s="1" t="s">
        <v>41</v>
      </c>
      <c r="C629" s="1" t="s">
        <v>90</v>
      </c>
      <c r="D629" s="1" t="s">
        <v>9</v>
      </c>
      <c r="E629" s="2">
        <v>42522.457638888889</v>
      </c>
      <c r="F629" s="1" t="s">
        <v>6</v>
      </c>
      <c r="G629" s="1">
        <v>68692</v>
      </c>
      <c r="H629" s="1">
        <v>22</v>
      </c>
      <c r="I629" s="1" t="s">
        <v>81</v>
      </c>
      <c r="J629" s="1">
        <f>+Table2[[#This Row],[Ventas]]/Table2[[#This Row],[Cantidad]]</f>
        <v>3122.3636363636365</v>
      </c>
      <c r="K629" s="1" t="str">
        <f>+_xlfn.IFS(Table2[[#This Row],[Ventas]]&gt;200000,"Alta", Table2[[#This Row],[Ventas]]&gt;100000,"Media",TRUE,"Bajo")</f>
        <v>Bajo</v>
      </c>
    </row>
    <row r="630" spans="1:11" x14ac:dyDescent="0.25">
      <c r="A630" s="1" t="s">
        <v>102</v>
      </c>
      <c r="B630" s="1" t="s">
        <v>139</v>
      </c>
      <c r="C630" s="1" t="s">
        <v>90</v>
      </c>
      <c r="D630" s="1" t="s">
        <v>9</v>
      </c>
      <c r="E630" s="2">
        <v>42522.457638888889</v>
      </c>
      <c r="F630" s="1" t="s">
        <v>6</v>
      </c>
      <c r="G630" s="1">
        <v>90565</v>
      </c>
      <c r="H630" s="1">
        <v>15</v>
      </c>
      <c r="I630" s="1" t="s">
        <v>79</v>
      </c>
      <c r="J630" s="1">
        <f>+Table2[[#This Row],[Ventas]]/Table2[[#This Row],[Cantidad]]</f>
        <v>6037.666666666667</v>
      </c>
      <c r="K630" s="1" t="str">
        <f>+_xlfn.IFS(Table2[[#This Row],[Ventas]]&gt;200000,"Alta", Table2[[#This Row],[Ventas]]&gt;100000,"Media",TRUE,"Bajo")</f>
        <v>Bajo</v>
      </c>
    </row>
    <row r="631" spans="1:11" x14ac:dyDescent="0.25">
      <c r="A631" s="1" t="s">
        <v>95</v>
      </c>
      <c r="B631" s="1" t="s">
        <v>115</v>
      </c>
      <c r="C631" s="1" t="s">
        <v>90</v>
      </c>
      <c r="D631" s="1" t="s">
        <v>9</v>
      </c>
      <c r="E631" s="2">
        <v>42430.457638888889</v>
      </c>
      <c r="F631" s="1" t="s">
        <v>7</v>
      </c>
      <c r="G631" s="1">
        <v>79294</v>
      </c>
      <c r="H631" s="1">
        <v>30</v>
      </c>
      <c r="I631" s="1" t="s">
        <v>82</v>
      </c>
      <c r="J631" s="1">
        <f>+Table2[[#This Row],[Ventas]]/Table2[[#This Row],[Cantidad]]</f>
        <v>2643.1333333333332</v>
      </c>
      <c r="K631" s="1" t="str">
        <f>+_xlfn.IFS(Table2[[#This Row],[Ventas]]&gt;200000,"Alta", Table2[[#This Row],[Ventas]]&gt;100000,"Media",TRUE,"Bajo")</f>
        <v>Bajo</v>
      </c>
    </row>
    <row r="632" spans="1:11" x14ac:dyDescent="0.25">
      <c r="A632" s="1" t="s">
        <v>96</v>
      </c>
      <c r="B632" s="1" t="s">
        <v>128</v>
      </c>
      <c r="C632" s="1" t="s">
        <v>91</v>
      </c>
      <c r="D632" s="1" t="s">
        <v>9</v>
      </c>
      <c r="E632" s="2">
        <v>42430.457638888889</v>
      </c>
      <c r="F632" s="1" t="s">
        <v>6</v>
      </c>
      <c r="G632" s="1">
        <v>97248</v>
      </c>
      <c r="H632" s="1">
        <v>38</v>
      </c>
      <c r="I632" s="1" t="s">
        <v>80</v>
      </c>
      <c r="J632" s="1">
        <f>+Table2[[#This Row],[Ventas]]/Table2[[#This Row],[Cantidad]]</f>
        <v>2559.1578947368421</v>
      </c>
      <c r="K632" s="1" t="str">
        <f>+_xlfn.IFS(Table2[[#This Row],[Ventas]]&gt;200000,"Alta", Table2[[#This Row],[Ventas]]&gt;100000,"Media",TRUE,"Bajo")</f>
        <v>Bajo</v>
      </c>
    </row>
    <row r="633" spans="1:11" x14ac:dyDescent="0.25">
      <c r="A633" s="1" t="s">
        <v>97</v>
      </c>
      <c r="B633" s="1" t="s">
        <v>128</v>
      </c>
      <c r="C633" s="1" t="s">
        <v>91</v>
      </c>
      <c r="D633" s="1" t="s">
        <v>9</v>
      </c>
      <c r="E633" s="2">
        <v>42430.457638888889</v>
      </c>
      <c r="F633" s="1" t="s">
        <v>6</v>
      </c>
      <c r="G633" s="1">
        <v>70958</v>
      </c>
      <c r="H633" s="1">
        <v>31</v>
      </c>
      <c r="I633" s="1" t="s">
        <v>79</v>
      </c>
      <c r="J633" s="1">
        <f>+Table2[[#This Row],[Ventas]]/Table2[[#This Row],[Cantidad]]</f>
        <v>2288.9677419354839</v>
      </c>
      <c r="K633" s="1" t="str">
        <f>+_xlfn.IFS(Table2[[#This Row],[Ventas]]&gt;200000,"Alta", Table2[[#This Row],[Ventas]]&gt;100000,"Media",TRUE,"Bajo")</f>
        <v>Bajo</v>
      </c>
    </row>
    <row r="634" spans="1:11" x14ac:dyDescent="0.25">
      <c r="A634" s="1" t="s">
        <v>97</v>
      </c>
      <c r="B634" s="1" t="s">
        <v>115</v>
      </c>
      <c r="C634" s="1" t="s">
        <v>91</v>
      </c>
      <c r="D634" s="1" t="s">
        <v>9</v>
      </c>
      <c r="E634" s="2">
        <v>42430.457638888889</v>
      </c>
      <c r="F634" s="1" t="s">
        <v>7</v>
      </c>
      <c r="G634" s="1">
        <v>215277</v>
      </c>
      <c r="H634" s="1">
        <v>20</v>
      </c>
      <c r="I634" s="1" t="s">
        <v>81</v>
      </c>
      <c r="J634" s="1">
        <f>+Table2[[#This Row],[Ventas]]/Table2[[#This Row],[Cantidad]]</f>
        <v>10763.85</v>
      </c>
      <c r="K634" s="1" t="str">
        <f>+_xlfn.IFS(Table2[[#This Row],[Ventas]]&gt;200000,"Alta", Table2[[#This Row],[Ventas]]&gt;100000,"Media",TRUE,"Bajo")</f>
        <v>Alta</v>
      </c>
    </row>
    <row r="635" spans="1:11" x14ac:dyDescent="0.25">
      <c r="A635" s="1" t="s">
        <v>97</v>
      </c>
      <c r="B635" s="1" t="s">
        <v>115</v>
      </c>
      <c r="C635" s="1" t="s">
        <v>90</v>
      </c>
      <c r="D635" s="1" t="s">
        <v>9</v>
      </c>
      <c r="E635" s="2">
        <v>42430.457638888889</v>
      </c>
      <c r="F635" s="1" t="s">
        <v>7</v>
      </c>
      <c r="G635" s="1">
        <v>169193</v>
      </c>
      <c r="H635" s="1">
        <v>16</v>
      </c>
      <c r="I635" s="1" t="s">
        <v>79</v>
      </c>
      <c r="J635" s="1">
        <f>+Table2[[#This Row],[Ventas]]/Table2[[#This Row],[Cantidad]]</f>
        <v>10574.5625</v>
      </c>
      <c r="K635" s="1" t="str">
        <f>+_xlfn.IFS(Table2[[#This Row],[Ventas]]&gt;200000,"Alta", Table2[[#This Row],[Ventas]]&gt;100000,"Media",TRUE,"Bajo")</f>
        <v>Media</v>
      </c>
    </row>
    <row r="636" spans="1:11" x14ac:dyDescent="0.25">
      <c r="A636" s="1" t="s">
        <v>97</v>
      </c>
      <c r="B636" s="1" t="s">
        <v>115</v>
      </c>
      <c r="C636" s="1" t="s">
        <v>90</v>
      </c>
      <c r="D636" s="1" t="s">
        <v>9</v>
      </c>
      <c r="E636" s="2">
        <v>42430.457638888889</v>
      </c>
      <c r="F636" s="1" t="s">
        <v>7</v>
      </c>
      <c r="G636" s="1">
        <v>62746</v>
      </c>
      <c r="H636" s="1">
        <v>37</v>
      </c>
      <c r="I636" s="1" t="s">
        <v>80</v>
      </c>
      <c r="J636" s="1">
        <f>+Table2[[#This Row],[Ventas]]/Table2[[#This Row],[Cantidad]]</f>
        <v>1695.8378378378379</v>
      </c>
      <c r="K636" s="1" t="str">
        <f>+_xlfn.IFS(Table2[[#This Row],[Ventas]]&gt;200000,"Alta", Table2[[#This Row],[Ventas]]&gt;100000,"Media",TRUE,"Bajo")</f>
        <v>Bajo</v>
      </c>
    </row>
    <row r="637" spans="1:11" x14ac:dyDescent="0.25">
      <c r="A637" s="1" t="s">
        <v>97</v>
      </c>
      <c r="B637" s="1" t="s">
        <v>45</v>
      </c>
      <c r="C637" s="1" t="s">
        <v>91</v>
      </c>
      <c r="D637" s="1" t="s">
        <v>9</v>
      </c>
      <c r="E637" s="2">
        <v>42454.457638888889</v>
      </c>
      <c r="F637" s="1" t="s">
        <v>6</v>
      </c>
      <c r="G637" s="1">
        <v>194776</v>
      </c>
      <c r="H637" s="1">
        <v>36</v>
      </c>
      <c r="I637" s="1" t="s">
        <v>79</v>
      </c>
      <c r="J637" s="1">
        <f>+Table2[[#This Row],[Ventas]]/Table2[[#This Row],[Cantidad]]</f>
        <v>5410.4444444444443</v>
      </c>
      <c r="K637" s="1" t="str">
        <f>+_xlfn.IFS(Table2[[#This Row],[Ventas]]&gt;200000,"Alta", Table2[[#This Row],[Ventas]]&gt;100000,"Media",TRUE,"Bajo")</f>
        <v>Media</v>
      </c>
    </row>
    <row r="638" spans="1:11" x14ac:dyDescent="0.25">
      <c r="A638" s="1" t="s">
        <v>98</v>
      </c>
      <c r="B638" s="1" t="s">
        <v>4</v>
      </c>
      <c r="C638" s="1" t="s">
        <v>84</v>
      </c>
      <c r="D638" s="1" t="s">
        <v>5</v>
      </c>
      <c r="E638" s="2">
        <v>42460.457638888889</v>
      </c>
      <c r="F638" s="1" t="s">
        <v>6</v>
      </c>
      <c r="G638" s="1">
        <v>241332</v>
      </c>
      <c r="H638" s="1">
        <v>21</v>
      </c>
      <c r="I638" s="1" t="s">
        <v>82</v>
      </c>
      <c r="J638" s="1">
        <f>+Table2[[#This Row],[Ventas]]/Table2[[#This Row],[Cantidad]]</f>
        <v>11492</v>
      </c>
      <c r="K638" s="1" t="str">
        <f>+_xlfn.IFS(Table2[[#This Row],[Ventas]]&gt;200000,"Alta", Table2[[#This Row],[Ventas]]&gt;100000,"Media",TRUE,"Bajo")</f>
        <v>Alta</v>
      </c>
    </row>
    <row r="639" spans="1:11" x14ac:dyDescent="0.25">
      <c r="A639" s="1" t="s">
        <v>98</v>
      </c>
      <c r="B639" s="1" t="s">
        <v>115</v>
      </c>
      <c r="C639" s="1" t="s">
        <v>91</v>
      </c>
      <c r="D639" s="1" t="s">
        <v>9</v>
      </c>
      <c r="E639" s="2">
        <v>42430.457638888889</v>
      </c>
      <c r="F639" s="1" t="s">
        <v>7</v>
      </c>
      <c r="G639" s="1">
        <v>173389</v>
      </c>
      <c r="H639" s="1">
        <v>19</v>
      </c>
      <c r="I639" s="1" t="s">
        <v>79</v>
      </c>
      <c r="J639" s="1">
        <f>+Table2[[#This Row],[Ventas]]/Table2[[#This Row],[Cantidad]]</f>
        <v>9125.7368421052633</v>
      </c>
      <c r="K639" s="1" t="str">
        <f>+_xlfn.IFS(Table2[[#This Row],[Ventas]]&gt;200000,"Alta", Table2[[#This Row],[Ventas]]&gt;100000,"Media",TRUE,"Bajo")</f>
        <v>Media</v>
      </c>
    </row>
    <row r="640" spans="1:11" x14ac:dyDescent="0.25">
      <c r="A640" s="1" t="s">
        <v>98</v>
      </c>
      <c r="B640" s="1" t="s">
        <v>115</v>
      </c>
      <c r="C640" s="1" t="s">
        <v>90</v>
      </c>
      <c r="D640" s="1" t="s">
        <v>9</v>
      </c>
      <c r="E640" s="2">
        <v>42430.457638888889</v>
      </c>
      <c r="F640" s="1" t="s">
        <v>7</v>
      </c>
      <c r="G640" s="1">
        <v>166055</v>
      </c>
      <c r="H640" s="1">
        <v>40</v>
      </c>
      <c r="I640" s="1" t="s">
        <v>79</v>
      </c>
      <c r="J640" s="1">
        <f>+Table2[[#This Row],[Ventas]]/Table2[[#This Row],[Cantidad]]</f>
        <v>4151.375</v>
      </c>
      <c r="K640" s="1" t="str">
        <f>+_xlfn.IFS(Table2[[#This Row],[Ventas]]&gt;200000,"Alta", Table2[[#This Row],[Ventas]]&gt;100000,"Media",TRUE,"Bajo")</f>
        <v>Media</v>
      </c>
    </row>
    <row r="641" spans="1:11" x14ac:dyDescent="0.25">
      <c r="A641" s="1" t="s">
        <v>98</v>
      </c>
      <c r="B641" s="1" t="s">
        <v>55</v>
      </c>
      <c r="C641" s="1" t="s">
        <v>92</v>
      </c>
      <c r="D641" s="1" t="s">
        <v>5</v>
      </c>
      <c r="E641" s="2">
        <v>42452.457638888889</v>
      </c>
      <c r="F641" s="1" t="s">
        <v>6</v>
      </c>
      <c r="G641" s="1">
        <v>220860</v>
      </c>
      <c r="H641" s="1">
        <v>34</v>
      </c>
      <c r="I641" s="1" t="s">
        <v>93</v>
      </c>
      <c r="J641" s="1">
        <f>+Table2[[#This Row],[Ventas]]/Table2[[#This Row],[Cantidad]]</f>
        <v>6495.8823529411766</v>
      </c>
      <c r="K641" s="1" t="str">
        <f>+_xlfn.IFS(Table2[[#This Row],[Ventas]]&gt;200000,"Alta", Table2[[#This Row],[Ventas]]&gt;100000,"Media",TRUE,"Bajo")</f>
        <v>Alta</v>
      </c>
    </row>
    <row r="642" spans="1:11" x14ac:dyDescent="0.25">
      <c r="A642" s="1" t="s">
        <v>98</v>
      </c>
      <c r="B642" s="1" t="s">
        <v>128</v>
      </c>
      <c r="C642" s="1" t="s">
        <v>91</v>
      </c>
      <c r="D642" s="1" t="s">
        <v>9</v>
      </c>
      <c r="E642" s="2">
        <v>42430.457638888889</v>
      </c>
      <c r="F642" s="1" t="s">
        <v>6</v>
      </c>
      <c r="G642" s="1">
        <v>96982</v>
      </c>
      <c r="H642" s="1">
        <v>38</v>
      </c>
      <c r="I642" s="1" t="s">
        <v>81</v>
      </c>
      <c r="J642" s="1">
        <f>+Table2[[#This Row],[Ventas]]/Table2[[#This Row],[Cantidad]]</f>
        <v>2552.1578947368421</v>
      </c>
      <c r="K642" s="1" t="str">
        <f>+_xlfn.IFS(Table2[[#This Row],[Ventas]]&gt;200000,"Alta", Table2[[#This Row],[Ventas]]&gt;100000,"Media",TRUE,"Bajo")</f>
        <v>Bajo</v>
      </c>
    </row>
    <row r="643" spans="1:11" x14ac:dyDescent="0.25">
      <c r="A643" s="1" t="s">
        <v>98</v>
      </c>
      <c r="B643" s="1" t="s">
        <v>115</v>
      </c>
      <c r="C643" s="1" t="s">
        <v>91</v>
      </c>
      <c r="D643" s="1" t="s">
        <v>9</v>
      </c>
      <c r="E643" s="2">
        <v>42430.457638888889</v>
      </c>
      <c r="F643" s="1" t="s">
        <v>7</v>
      </c>
      <c r="G643" s="1">
        <v>94899</v>
      </c>
      <c r="H643" s="1">
        <v>26</v>
      </c>
      <c r="I643" s="1" t="s">
        <v>81</v>
      </c>
      <c r="J643" s="1">
        <f>+Table2[[#This Row],[Ventas]]/Table2[[#This Row],[Cantidad]]</f>
        <v>3649.9615384615386</v>
      </c>
      <c r="K643" s="1" t="str">
        <f>+_xlfn.IFS(Table2[[#This Row],[Ventas]]&gt;200000,"Alta", Table2[[#This Row],[Ventas]]&gt;100000,"Media",TRUE,"Bajo")</f>
        <v>Bajo</v>
      </c>
    </row>
    <row r="644" spans="1:11" x14ac:dyDescent="0.25">
      <c r="A644" s="1" t="s">
        <v>98</v>
      </c>
      <c r="B644" s="1" t="s">
        <v>147</v>
      </c>
      <c r="C644" s="1" t="s">
        <v>91</v>
      </c>
      <c r="D644" s="1" t="s">
        <v>9</v>
      </c>
      <c r="E644" s="2">
        <v>42430.457638888889</v>
      </c>
      <c r="F644" s="1" t="s">
        <v>12</v>
      </c>
      <c r="G644" s="1">
        <v>238589</v>
      </c>
      <c r="H644" s="1">
        <v>24</v>
      </c>
      <c r="I644" s="1" t="s">
        <v>79</v>
      </c>
      <c r="J644" s="1">
        <f>+Table2[[#This Row],[Ventas]]/Table2[[#This Row],[Cantidad]]</f>
        <v>9941.2083333333339</v>
      </c>
      <c r="K644" s="1" t="str">
        <f>+_xlfn.IFS(Table2[[#This Row],[Ventas]]&gt;200000,"Alta", Table2[[#This Row],[Ventas]]&gt;100000,"Media",TRUE,"Bajo")</f>
        <v>Alta</v>
      </c>
    </row>
    <row r="645" spans="1:11" x14ac:dyDescent="0.25">
      <c r="A645" s="1" t="s">
        <v>98</v>
      </c>
      <c r="B645" s="1" t="s">
        <v>115</v>
      </c>
      <c r="C645" s="1" t="s">
        <v>90</v>
      </c>
      <c r="D645" s="1" t="s">
        <v>9</v>
      </c>
      <c r="E645" s="2">
        <v>42430.457638888889</v>
      </c>
      <c r="F645" s="1" t="s">
        <v>7</v>
      </c>
      <c r="G645" s="1">
        <v>212535</v>
      </c>
      <c r="H645" s="1">
        <v>23</v>
      </c>
      <c r="I645" s="1" t="s">
        <v>79</v>
      </c>
      <c r="J645" s="1">
        <f>+Table2[[#This Row],[Ventas]]/Table2[[#This Row],[Cantidad]]</f>
        <v>9240.652173913044</v>
      </c>
      <c r="K645" s="1" t="str">
        <f>+_xlfn.IFS(Table2[[#This Row],[Ventas]]&gt;200000,"Alta", Table2[[#This Row],[Ventas]]&gt;100000,"Media",TRUE,"Bajo")</f>
        <v>Alta</v>
      </c>
    </row>
    <row r="646" spans="1:11" x14ac:dyDescent="0.25">
      <c r="A646" s="1" t="s">
        <v>98</v>
      </c>
      <c r="B646" s="1" t="s">
        <v>15</v>
      </c>
      <c r="C646" s="1" t="s">
        <v>92</v>
      </c>
      <c r="D646" s="1" t="s">
        <v>5</v>
      </c>
      <c r="E646" s="2">
        <v>42447.457638888889</v>
      </c>
      <c r="F646" s="1" t="s">
        <v>10</v>
      </c>
      <c r="G646" s="1">
        <v>194809</v>
      </c>
      <c r="H646" s="1">
        <v>34</v>
      </c>
      <c r="I646" s="1" t="s">
        <v>80</v>
      </c>
      <c r="J646" s="1">
        <f>+Table2[[#This Row],[Ventas]]/Table2[[#This Row],[Cantidad]]</f>
        <v>5729.6764705882351</v>
      </c>
      <c r="K646" s="1" t="str">
        <f>+_xlfn.IFS(Table2[[#This Row],[Ventas]]&gt;200000,"Alta", Table2[[#This Row],[Ventas]]&gt;100000,"Media",TRUE,"Bajo")</f>
        <v>Media</v>
      </c>
    </row>
    <row r="647" spans="1:11" x14ac:dyDescent="0.25">
      <c r="A647" s="1" t="s">
        <v>98</v>
      </c>
      <c r="B647" s="1" t="s">
        <v>15</v>
      </c>
      <c r="C647" s="1" t="s">
        <v>92</v>
      </c>
      <c r="D647" s="1" t="s">
        <v>5</v>
      </c>
      <c r="E647" s="2">
        <v>42447.457638888889</v>
      </c>
      <c r="F647" s="1" t="s">
        <v>10</v>
      </c>
      <c r="G647" s="1">
        <v>116025</v>
      </c>
      <c r="H647" s="1">
        <v>24</v>
      </c>
      <c r="I647" s="1" t="s">
        <v>81</v>
      </c>
      <c r="J647" s="1">
        <f>+Table2[[#This Row],[Ventas]]/Table2[[#This Row],[Cantidad]]</f>
        <v>4834.375</v>
      </c>
      <c r="K647" s="1" t="str">
        <f>+_xlfn.IFS(Table2[[#This Row],[Ventas]]&gt;200000,"Alta", Table2[[#This Row],[Ventas]]&gt;100000,"Media",TRUE,"Bajo")</f>
        <v>Media</v>
      </c>
    </row>
    <row r="648" spans="1:11" x14ac:dyDescent="0.25">
      <c r="A648" s="1" t="s">
        <v>99</v>
      </c>
      <c r="B648" s="1" t="s">
        <v>115</v>
      </c>
      <c r="C648" s="1" t="s">
        <v>90</v>
      </c>
      <c r="D648" s="1" t="s">
        <v>9</v>
      </c>
      <c r="E648" s="2">
        <v>42430.457638888889</v>
      </c>
      <c r="F648" s="1" t="s">
        <v>7</v>
      </c>
      <c r="G648" s="1">
        <v>68283</v>
      </c>
      <c r="H648" s="1">
        <v>29</v>
      </c>
      <c r="I648" s="1" t="s">
        <v>79</v>
      </c>
      <c r="J648" s="1">
        <f>+Table2[[#This Row],[Ventas]]/Table2[[#This Row],[Cantidad]]</f>
        <v>2354.5862068965516</v>
      </c>
      <c r="K648" s="1" t="str">
        <f>+_xlfn.IFS(Table2[[#This Row],[Ventas]]&gt;200000,"Alta", Table2[[#This Row],[Ventas]]&gt;100000,"Media",TRUE,"Bajo")</f>
        <v>Bajo</v>
      </c>
    </row>
    <row r="649" spans="1:11" x14ac:dyDescent="0.25">
      <c r="A649" s="1" t="s">
        <v>99</v>
      </c>
      <c r="B649" s="1" t="s">
        <v>128</v>
      </c>
      <c r="C649" s="1" t="s">
        <v>91</v>
      </c>
      <c r="D649" s="1" t="s">
        <v>9</v>
      </c>
      <c r="E649" s="2">
        <v>42430.457638888889</v>
      </c>
      <c r="F649" s="1" t="s">
        <v>6</v>
      </c>
      <c r="G649" s="1">
        <v>93983</v>
      </c>
      <c r="H649" s="1">
        <v>29</v>
      </c>
      <c r="I649" s="1" t="s">
        <v>80</v>
      </c>
      <c r="J649" s="1">
        <f>+Table2[[#This Row],[Ventas]]/Table2[[#This Row],[Cantidad]]</f>
        <v>3240.7931034482758</v>
      </c>
      <c r="K649" s="1" t="str">
        <f>+_xlfn.IFS(Table2[[#This Row],[Ventas]]&gt;200000,"Alta", Table2[[#This Row],[Ventas]]&gt;100000,"Media",TRUE,"Bajo")</f>
        <v>Bajo</v>
      </c>
    </row>
    <row r="650" spans="1:11" x14ac:dyDescent="0.25">
      <c r="A650" s="1" t="s">
        <v>99</v>
      </c>
      <c r="B650" s="1" t="s">
        <v>128</v>
      </c>
      <c r="C650" s="1" t="s">
        <v>91</v>
      </c>
      <c r="D650" s="1" t="s">
        <v>9</v>
      </c>
      <c r="E650" s="2">
        <v>42430.457638888889</v>
      </c>
      <c r="F650" s="1" t="s">
        <v>6</v>
      </c>
      <c r="G650" s="1">
        <v>203876</v>
      </c>
      <c r="H650" s="1">
        <v>34</v>
      </c>
      <c r="I650" s="1" t="s">
        <v>79</v>
      </c>
      <c r="J650" s="1">
        <f>+Table2[[#This Row],[Ventas]]/Table2[[#This Row],[Cantidad]]</f>
        <v>5996.3529411764703</v>
      </c>
      <c r="K650" s="1" t="str">
        <f>+_xlfn.IFS(Table2[[#This Row],[Ventas]]&gt;200000,"Alta", Table2[[#This Row],[Ventas]]&gt;100000,"Media",TRUE,"Bajo")</f>
        <v>Alta</v>
      </c>
    </row>
    <row r="651" spans="1:11" x14ac:dyDescent="0.25">
      <c r="A651" s="1" t="s">
        <v>99</v>
      </c>
      <c r="B651" s="1" t="s">
        <v>115</v>
      </c>
      <c r="C651" s="1" t="s">
        <v>90</v>
      </c>
      <c r="D651" s="1" t="s">
        <v>9</v>
      </c>
      <c r="E651" s="2">
        <v>42430.457638888889</v>
      </c>
      <c r="F651" s="1" t="s">
        <v>7</v>
      </c>
      <c r="G651" s="1">
        <v>247015</v>
      </c>
      <c r="H651" s="1">
        <v>26</v>
      </c>
      <c r="I651" s="1" t="s">
        <v>79</v>
      </c>
      <c r="J651" s="1">
        <f>+Table2[[#This Row],[Ventas]]/Table2[[#This Row],[Cantidad]]</f>
        <v>9500.5769230769238</v>
      </c>
      <c r="K651" s="1" t="str">
        <f>+_xlfn.IFS(Table2[[#This Row],[Ventas]]&gt;200000,"Alta", Table2[[#This Row],[Ventas]]&gt;100000,"Media",TRUE,"Bajo")</f>
        <v>Alta</v>
      </c>
    </row>
    <row r="652" spans="1:11" x14ac:dyDescent="0.25">
      <c r="A652" s="1" t="s">
        <v>99</v>
      </c>
      <c r="B652" s="1" t="s">
        <v>115</v>
      </c>
      <c r="C652" s="1" t="s">
        <v>91</v>
      </c>
      <c r="D652" s="1" t="s">
        <v>9</v>
      </c>
      <c r="E652" s="2">
        <v>42430.457638888889</v>
      </c>
      <c r="F652" s="1" t="s">
        <v>7</v>
      </c>
      <c r="G652" s="1">
        <v>199925</v>
      </c>
      <c r="H652" s="1">
        <v>42</v>
      </c>
      <c r="I652" s="1" t="s">
        <v>79</v>
      </c>
      <c r="J652" s="1">
        <f>+Table2[[#This Row],[Ventas]]/Table2[[#This Row],[Cantidad]]</f>
        <v>4760.1190476190477</v>
      </c>
      <c r="K652" s="1" t="str">
        <f>+_xlfn.IFS(Table2[[#This Row],[Ventas]]&gt;200000,"Alta", Table2[[#This Row],[Ventas]]&gt;100000,"Media",TRUE,"Bajo")</f>
        <v>Media</v>
      </c>
    </row>
    <row r="653" spans="1:11" x14ac:dyDescent="0.25">
      <c r="A653" s="1" t="s">
        <v>99</v>
      </c>
      <c r="B653" s="1" t="s">
        <v>128</v>
      </c>
      <c r="C653" s="1" t="s">
        <v>91</v>
      </c>
      <c r="D653" s="1" t="s">
        <v>9</v>
      </c>
      <c r="E653" s="2">
        <v>42430.457638888889</v>
      </c>
      <c r="F653" s="1" t="s">
        <v>6</v>
      </c>
      <c r="G653" s="1">
        <v>75539</v>
      </c>
      <c r="H653" s="1">
        <v>27</v>
      </c>
      <c r="I653" s="1" t="s">
        <v>79</v>
      </c>
      <c r="J653" s="1">
        <f>+Table2[[#This Row],[Ventas]]/Table2[[#This Row],[Cantidad]]</f>
        <v>2797.7407407407409</v>
      </c>
      <c r="K653" s="1" t="str">
        <f>+_xlfn.IFS(Table2[[#This Row],[Ventas]]&gt;200000,"Alta", Table2[[#This Row],[Ventas]]&gt;100000,"Media",TRUE,"Bajo")</f>
        <v>Bajo</v>
      </c>
    </row>
    <row r="654" spans="1:11" x14ac:dyDescent="0.25">
      <c r="A654" s="1" t="s">
        <v>99</v>
      </c>
      <c r="B654" s="1" t="s">
        <v>46</v>
      </c>
      <c r="C654" s="1" t="s">
        <v>92</v>
      </c>
      <c r="D654" s="1" t="s">
        <v>5</v>
      </c>
      <c r="E654" s="2">
        <v>42454.457638888889</v>
      </c>
      <c r="F654" s="1" t="s">
        <v>6</v>
      </c>
      <c r="G654" s="1">
        <v>172613</v>
      </c>
      <c r="H654" s="1">
        <v>32</v>
      </c>
      <c r="I654" s="1" t="s">
        <v>82</v>
      </c>
      <c r="J654" s="1">
        <f>+Table2[[#This Row],[Ventas]]/Table2[[#This Row],[Cantidad]]</f>
        <v>5394.15625</v>
      </c>
      <c r="K654" s="1" t="str">
        <f>+_xlfn.IFS(Table2[[#This Row],[Ventas]]&gt;200000,"Alta", Table2[[#This Row],[Ventas]]&gt;100000,"Media",TRUE,"Bajo")</f>
        <v>Media</v>
      </c>
    </row>
    <row r="655" spans="1:11" x14ac:dyDescent="0.25">
      <c r="A655" s="1" t="s">
        <v>99</v>
      </c>
      <c r="B655" s="1" t="s">
        <v>115</v>
      </c>
      <c r="C655" s="1" t="s">
        <v>90</v>
      </c>
      <c r="D655" s="1" t="s">
        <v>9</v>
      </c>
      <c r="E655" s="2">
        <v>42430.457638888889</v>
      </c>
      <c r="F655" s="1" t="s">
        <v>7</v>
      </c>
      <c r="G655" s="1">
        <v>135082</v>
      </c>
      <c r="H655" s="1">
        <v>26</v>
      </c>
      <c r="I655" s="1" t="s">
        <v>79</v>
      </c>
      <c r="J655" s="1">
        <f>+Table2[[#This Row],[Ventas]]/Table2[[#This Row],[Cantidad]]</f>
        <v>5195.4615384615381</v>
      </c>
      <c r="K655" s="1" t="str">
        <f>+_xlfn.IFS(Table2[[#This Row],[Ventas]]&gt;200000,"Alta", Table2[[#This Row],[Ventas]]&gt;100000,"Media",TRUE,"Bajo")</f>
        <v>Media</v>
      </c>
    </row>
    <row r="656" spans="1:11" x14ac:dyDescent="0.25">
      <c r="A656" s="1" t="s">
        <v>99</v>
      </c>
      <c r="B656" s="1" t="s">
        <v>115</v>
      </c>
      <c r="C656" s="1" t="s">
        <v>90</v>
      </c>
      <c r="D656" s="1" t="s">
        <v>9</v>
      </c>
      <c r="E656" s="2">
        <v>42430.457638888889</v>
      </c>
      <c r="F656" s="1" t="s">
        <v>7</v>
      </c>
      <c r="G656" s="1">
        <v>225533</v>
      </c>
      <c r="H656" s="1">
        <v>34</v>
      </c>
      <c r="I656" s="1" t="s">
        <v>80</v>
      </c>
      <c r="J656" s="1">
        <f>+Table2[[#This Row],[Ventas]]/Table2[[#This Row],[Cantidad]]</f>
        <v>6633.3235294117649</v>
      </c>
      <c r="K656" s="1" t="str">
        <f>+_xlfn.IFS(Table2[[#This Row],[Ventas]]&gt;200000,"Alta", Table2[[#This Row],[Ventas]]&gt;100000,"Media",TRUE,"Bajo")</f>
        <v>Alta</v>
      </c>
    </row>
    <row r="657" spans="1:11" x14ac:dyDescent="0.25">
      <c r="A657" s="1" t="s">
        <v>99</v>
      </c>
      <c r="B657" s="1" t="s">
        <v>128</v>
      </c>
      <c r="C657" s="1" t="s">
        <v>91</v>
      </c>
      <c r="D657" s="1" t="s">
        <v>9</v>
      </c>
      <c r="E657" s="2">
        <v>42430.457638888889</v>
      </c>
      <c r="F657" s="1" t="s">
        <v>6</v>
      </c>
      <c r="G657" s="1">
        <v>143814</v>
      </c>
      <c r="H657" s="1">
        <v>22</v>
      </c>
      <c r="I657" s="1" t="s">
        <v>82</v>
      </c>
      <c r="J657" s="1">
        <f>+Table2[[#This Row],[Ventas]]/Table2[[#This Row],[Cantidad]]</f>
        <v>6537</v>
      </c>
      <c r="K657" s="1" t="str">
        <f>+_xlfn.IFS(Table2[[#This Row],[Ventas]]&gt;200000,"Alta", Table2[[#This Row],[Ventas]]&gt;100000,"Media",TRUE,"Bajo")</f>
        <v>Media</v>
      </c>
    </row>
    <row r="658" spans="1:11" x14ac:dyDescent="0.25">
      <c r="A658" s="1" t="s">
        <v>99</v>
      </c>
      <c r="B658" s="1" t="s">
        <v>24</v>
      </c>
      <c r="C658" s="1" t="s">
        <v>92</v>
      </c>
      <c r="D658" s="1" t="s">
        <v>5</v>
      </c>
      <c r="E658" s="2">
        <v>42460.457638888889</v>
      </c>
      <c r="F658" s="1" t="s">
        <v>6</v>
      </c>
      <c r="G658" s="1">
        <v>234590</v>
      </c>
      <c r="H658" s="1">
        <v>35</v>
      </c>
      <c r="I658" s="1" t="s">
        <v>80</v>
      </c>
      <c r="J658" s="1">
        <f>+Table2[[#This Row],[Ventas]]/Table2[[#This Row],[Cantidad]]</f>
        <v>6702.5714285714284</v>
      </c>
      <c r="K658" s="1" t="str">
        <f>+_xlfn.IFS(Table2[[#This Row],[Ventas]]&gt;200000,"Alta", Table2[[#This Row],[Ventas]]&gt;100000,"Media",TRUE,"Bajo")</f>
        <v>Alta</v>
      </c>
    </row>
    <row r="659" spans="1:11" x14ac:dyDescent="0.25">
      <c r="A659" s="1" t="s">
        <v>99</v>
      </c>
      <c r="B659" s="1" t="s">
        <v>115</v>
      </c>
      <c r="C659" s="1" t="s">
        <v>90</v>
      </c>
      <c r="D659" s="1" t="s">
        <v>9</v>
      </c>
      <c r="E659" s="2">
        <v>42430.457638888889</v>
      </c>
      <c r="F659" s="1" t="s">
        <v>7</v>
      </c>
      <c r="G659" s="1">
        <v>214800</v>
      </c>
      <c r="H659" s="1">
        <v>41</v>
      </c>
      <c r="I659" s="1" t="s">
        <v>80</v>
      </c>
      <c r="J659" s="1">
        <f>+Table2[[#This Row],[Ventas]]/Table2[[#This Row],[Cantidad]]</f>
        <v>5239.0243902439024</v>
      </c>
      <c r="K659" s="1" t="str">
        <f>+_xlfn.IFS(Table2[[#This Row],[Ventas]]&gt;200000,"Alta", Table2[[#This Row],[Ventas]]&gt;100000,"Media",TRUE,"Bajo")</f>
        <v>Alta</v>
      </c>
    </row>
    <row r="660" spans="1:11" x14ac:dyDescent="0.25">
      <c r="A660" s="1" t="s">
        <v>99</v>
      </c>
      <c r="B660" s="1" t="s">
        <v>147</v>
      </c>
      <c r="C660" s="1" t="s">
        <v>91</v>
      </c>
      <c r="D660" s="1" t="s">
        <v>9</v>
      </c>
      <c r="E660" s="2">
        <v>42430.457638888889</v>
      </c>
      <c r="F660" s="1" t="s">
        <v>12</v>
      </c>
      <c r="G660" s="1">
        <v>219704</v>
      </c>
      <c r="H660" s="1">
        <v>35</v>
      </c>
      <c r="I660" s="1" t="s">
        <v>80</v>
      </c>
      <c r="J660" s="1">
        <f>+Table2[[#This Row],[Ventas]]/Table2[[#This Row],[Cantidad]]</f>
        <v>6277.2571428571428</v>
      </c>
      <c r="K660" s="1" t="str">
        <f>+_xlfn.IFS(Table2[[#This Row],[Ventas]]&gt;200000,"Alta", Table2[[#This Row],[Ventas]]&gt;100000,"Media",TRUE,"Bajo")</f>
        <v>Alta</v>
      </c>
    </row>
    <row r="661" spans="1:11" x14ac:dyDescent="0.25">
      <c r="A661" s="1" t="s">
        <v>99</v>
      </c>
      <c r="B661" s="1" t="s">
        <v>128</v>
      </c>
      <c r="C661" s="1" t="s">
        <v>91</v>
      </c>
      <c r="D661" s="1" t="s">
        <v>9</v>
      </c>
      <c r="E661" s="2">
        <v>42430.457638888889</v>
      </c>
      <c r="F661" s="1" t="s">
        <v>6</v>
      </c>
      <c r="G661" s="1">
        <v>158223</v>
      </c>
      <c r="H661" s="1">
        <v>38</v>
      </c>
      <c r="I661" s="1" t="s">
        <v>79</v>
      </c>
      <c r="J661" s="1">
        <f>+Table2[[#This Row],[Ventas]]/Table2[[#This Row],[Cantidad]]</f>
        <v>4163.7631578947367</v>
      </c>
      <c r="K661" s="1" t="str">
        <f>+_xlfn.IFS(Table2[[#This Row],[Ventas]]&gt;200000,"Alta", Table2[[#This Row],[Ventas]]&gt;100000,"Media",TRUE,"Bajo")</f>
        <v>Media</v>
      </c>
    </row>
    <row r="662" spans="1:11" x14ac:dyDescent="0.25">
      <c r="A662" s="1" t="s">
        <v>99</v>
      </c>
      <c r="B662" s="1" t="s">
        <v>115</v>
      </c>
      <c r="C662" s="1" t="s">
        <v>90</v>
      </c>
      <c r="D662" s="1" t="s">
        <v>9</v>
      </c>
      <c r="E662" s="2">
        <v>42430.457638888889</v>
      </c>
      <c r="F662" s="1" t="s">
        <v>7</v>
      </c>
      <c r="G662" s="1">
        <v>114069</v>
      </c>
      <c r="H662" s="1">
        <v>15</v>
      </c>
      <c r="I662" s="1" t="s">
        <v>82</v>
      </c>
      <c r="J662" s="1">
        <f>+Table2[[#This Row],[Ventas]]/Table2[[#This Row],[Cantidad]]</f>
        <v>7604.6</v>
      </c>
      <c r="K662" s="1" t="str">
        <f>+_xlfn.IFS(Table2[[#This Row],[Ventas]]&gt;200000,"Alta", Table2[[#This Row],[Ventas]]&gt;100000,"Media",TRUE,"Bajo")</f>
        <v>Media</v>
      </c>
    </row>
    <row r="663" spans="1:11" x14ac:dyDescent="0.25">
      <c r="A663" s="1" t="s">
        <v>100</v>
      </c>
      <c r="B663" s="1" t="s">
        <v>128</v>
      </c>
      <c r="C663" s="1" t="s">
        <v>91</v>
      </c>
      <c r="D663" s="1" t="s">
        <v>9</v>
      </c>
      <c r="E663" s="2">
        <v>42430.457638888889</v>
      </c>
      <c r="F663" s="1" t="s">
        <v>6</v>
      </c>
      <c r="G663" s="1">
        <v>174569</v>
      </c>
      <c r="H663" s="1">
        <v>29</v>
      </c>
      <c r="I663" s="1" t="s">
        <v>79</v>
      </c>
      <c r="J663" s="1">
        <f>+Table2[[#This Row],[Ventas]]/Table2[[#This Row],[Cantidad]]</f>
        <v>6019.6206896551721</v>
      </c>
      <c r="K663" s="1" t="str">
        <f>+_xlfn.IFS(Table2[[#This Row],[Ventas]]&gt;200000,"Alta", Table2[[#This Row],[Ventas]]&gt;100000,"Media",TRUE,"Bajo")</f>
        <v>Media</v>
      </c>
    </row>
    <row r="664" spans="1:11" x14ac:dyDescent="0.25">
      <c r="A664" s="1" t="s">
        <v>100</v>
      </c>
      <c r="B664" s="1" t="s">
        <v>23</v>
      </c>
      <c r="C664" s="1" t="s">
        <v>92</v>
      </c>
      <c r="D664" s="1" t="s">
        <v>5</v>
      </c>
      <c r="E664" s="2">
        <v>42460.457638888889</v>
      </c>
      <c r="F664" s="1" t="s">
        <v>6</v>
      </c>
      <c r="G664" s="1">
        <v>87539</v>
      </c>
      <c r="H664" s="1">
        <v>25</v>
      </c>
      <c r="I664" s="1" t="s">
        <v>82</v>
      </c>
      <c r="J664" s="1">
        <f>+Table2[[#This Row],[Ventas]]/Table2[[#This Row],[Cantidad]]</f>
        <v>3501.56</v>
      </c>
      <c r="K664" s="1" t="str">
        <f>+_xlfn.IFS(Table2[[#This Row],[Ventas]]&gt;200000,"Alta", Table2[[#This Row],[Ventas]]&gt;100000,"Media",TRUE,"Bajo")</f>
        <v>Bajo</v>
      </c>
    </row>
    <row r="665" spans="1:11" x14ac:dyDescent="0.25">
      <c r="A665" s="1" t="s">
        <v>100</v>
      </c>
      <c r="B665" s="1" t="s">
        <v>115</v>
      </c>
      <c r="C665" s="1" t="s">
        <v>90</v>
      </c>
      <c r="D665" s="1" t="s">
        <v>9</v>
      </c>
      <c r="E665" s="2">
        <v>42430.457638888889</v>
      </c>
      <c r="F665" s="1" t="s">
        <v>7</v>
      </c>
      <c r="G665" s="1">
        <v>75445</v>
      </c>
      <c r="H665" s="1">
        <v>18</v>
      </c>
      <c r="I665" s="1" t="s">
        <v>81</v>
      </c>
      <c r="J665" s="1">
        <f>+Table2[[#This Row],[Ventas]]/Table2[[#This Row],[Cantidad]]</f>
        <v>4191.3888888888887</v>
      </c>
      <c r="K665" s="1" t="str">
        <f>+_xlfn.IFS(Table2[[#This Row],[Ventas]]&gt;200000,"Alta", Table2[[#This Row],[Ventas]]&gt;100000,"Media",TRUE,"Bajo")</f>
        <v>Bajo</v>
      </c>
    </row>
    <row r="666" spans="1:11" x14ac:dyDescent="0.25">
      <c r="A666" s="1" t="s">
        <v>100</v>
      </c>
      <c r="B666" s="1" t="s">
        <v>15</v>
      </c>
      <c r="C666" s="1" t="s">
        <v>92</v>
      </c>
      <c r="D666" s="1" t="s">
        <v>5</v>
      </c>
      <c r="E666" s="2">
        <v>42447.457638888889</v>
      </c>
      <c r="F666" s="1" t="s">
        <v>10</v>
      </c>
      <c r="G666" s="1">
        <v>56649</v>
      </c>
      <c r="H666" s="1">
        <v>21</v>
      </c>
      <c r="I666" s="1" t="s">
        <v>79</v>
      </c>
      <c r="J666" s="1">
        <f>+Table2[[#This Row],[Ventas]]/Table2[[#This Row],[Cantidad]]</f>
        <v>2697.5714285714284</v>
      </c>
      <c r="K666" s="1" t="str">
        <f>+_xlfn.IFS(Table2[[#This Row],[Ventas]]&gt;200000,"Alta", Table2[[#This Row],[Ventas]]&gt;100000,"Media",TRUE,"Bajo")</f>
        <v>Bajo</v>
      </c>
    </row>
    <row r="667" spans="1:11" x14ac:dyDescent="0.25">
      <c r="A667" s="1" t="s">
        <v>100</v>
      </c>
      <c r="B667" s="1" t="s">
        <v>44</v>
      </c>
      <c r="C667" s="1" t="s">
        <v>90</v>
      </c>
      <c r="D667" s="1" t="s">
        <v>9</v>
      </c>
      <c r="E667" s="2">
        <v>42437.457638888889</v>
      </c>
      <c r="F667" s="1" t="s">
        <v>6</v>
      </c>
      <c r="G667" s="1">
        <v>221062</v>
      </c>
      <c r="H667" s="1">
        <v>32</v>
      </c>
      <c r="I667" s="1" t="s">
        <v>81</v>
      </c>
      <c r="J667" s="1">
        <f>+Table2[[#This Row],[Ventas]]/Table2[[#This Row],[Cantidad]]</f>
        <v>6908.1875</v>
      </c>
      <c r="K667" s="1" t="str">
        <f>+_xlfn.IFS(Table2[[#This Row],[Ventas]]&gt;200000,"Alta", Table2[[#This Row],[Ventas]]&gt;100000,"Media",TRUE,"Bajo")</f>
        <v>Alta</v>
      </c>
    </row>
    <row r="668" spans="1:11" x14ac:dyDescent="0.25">
      <c r="A668" s="1" t="s">
        <v>100</v>
      </c>
      <c r="B668" s="1" t="s">
        <v>115</v>
      </c>
      <c r="C668" s="1" t="s">
        <v>90</v>
      </c>
      <c r="D668" s="1" t="s">
        <v>9</v>
      </c>
      <c r="E668" s="2">
        <v>42430.457638888889</v>
      </c>
      <c r="F668" s="1" t="s">
        <v>7</v>
      </c>
      <c r="G668" s="1">
        <v>82736</v>
      </c>
      <c r="H668" s="1">
        <v>35</v>
      </c>
      <c r="I668" s="1" t="s">
        <v>81</v>
      </c>
      <c r="J668" s="1">
        <f>+Table2[[#This Row],[Ventas]]/Table2[[#This Row],[Cantidad]]</f>
        <v>2363.8857142857141</v>
      </c>
      <c r="K668" s="1" t="str">
        <f>+_xlfn.IFS(Table2[[#This Row],[Ventas]]&gt;200000,"Alta", Table2[[#This Row],[Ventas]]&gt;100000,"Media",TRUE,"Bajo")</f>
        <v>Bajo</v>
      </c>
    </row>
    <row r="669" spans="1:11" x14ac:dyDescent="0.25">
      <c r="A669" s="1" t="s">
        <v>100</v>
      </c>
      <c r="B669" s="1" t="s">
        <v>115</v>
      </c>
      <c r="C669" s="1" t="s">
        <v>91</v>
      </c>
      <c r="D669" s="1" t="s">
        <v>9</v>
      </c>
      <c r="E669" s="2">
        <v>42430.457638888889</v>
      </c>
      <c r="F669" s="1" t="s">
        <v>7</v>
      </c>
      <c r="G669" s="1">
        <v>202292</v>
      </c>
      <c r="H669" s="1">
        <v>42</v>
      </c>
      <c r="I669" s="1" t="s">
        <v>79</v>
      </c>
      <c r="J669" s="1">
        <f>+Table2[[#This Row],[Ventas]]/Table2[[#This Row],[Cantidad]]</f>
        <v>4816.4761904761908</v>
      </c>
      <c r="K669" s="1" t="str">
        <f>+_xlfn.IFS(Table2[[#This Row],[Ventas]]&gt;200000,"Alta", Table2[[#This Row],[Ventas]]&gt;100000,"Media",TRUE,"Bajo")</f>
        <v>Alta</v>
      </c>
    </row>
    <row r="670" spans="1:11" x14ac:dyDescent="0.25">
      <c r="A670" s="1" t="s">
        <v>100</v>
      </c>
      <c r="B670" s="1" t="s">
        <v>143</v>
      </c>
      <c r="C670" s="1" t="s">
        <v>92</v>
      </c>
      <c r="D670" s="1" t="s">
        <v>5</v>
      </c>
      <c r="E670" s="2">
        <v>42445.457638888889</v>
      </c>
      <c r="F670" s="1" t="s">
        <v>6</v>
      </c>
      <c r="G670" s="1">
        <v>58039</v>
      </c>
      <c r="H670" s="1">
        <v>40</v>
      </c>
      <c r="I670" s="1" t="s">
        <v>93</v>
      </c>
      <c r="J670" s="1">
        <f>+Table2[[#This Row],[Ventas]]/Table2[[#This Row],[Cantidad]]</f>
        <v>1450.9749999999999</v>
      </c>
      <c r="K670" s="1" t="str">
        <f>+_xlfn.IFS(Table2[[#This Row],[Ventas]]&gt;200000,"Alta", Table2[[#This Row],[Ventas]]&gt;100000,"Media",TRUE,"Bajo")</f>
        <v>Bajo</v>
      </c>
    </row>
    <row r="671" spans="1:11" x14ac:dyDescent="0.25">
      <c r="A671" s="1" t="s">
        <v>100</v>
      </c>
      <c r="B671" s="1" t="s">
        <v>144</v>
      </c>
      <c r="C671" s="1" t="s">
        <v>84</v>
      </c>
      <c r="D671" s="1" t="s">
        <v>5</v>
      </c>
      <c r="E671" s="2">
        <v>42460.457638888889</v>
      </c>
      <c r="F671" s="1" t="s">
        <v>6</v>
      </c>
      <c r="G671" s="1">
        <v>146216</v>
      </c>
      <c r="H671" s="1">
        <v>24</v>
      </c>
      <c r="I671" s="1" t="s">
        <v>93</v>
      </c>
      <c r="J671" s="1">
        <f>+Table2[[#This Row],[Ventas]]/Table2[[#This Row],[Cantidad]]</f>
        <v>6092.333333333333</v>
      </c>
      <c r="K671" s="1" t="str">
        <f>+_xlfn.IFS(Table2[[#This Row],[Ventas]]&gt;200000,"Alta", Table2[[#This Row],[Ventas]]&gt;100000,"Media",TRUE,"Bajo")</f>
        <v>Media</v>
      </c>
    </row>
    <row r="672" spans="1:11" x14ac:dyDescent="0.25">
      <c r="A672" s="1" t="s">
        <v>101</v>
      </c>
      <c r="B672" s="1" t="s">
        <v>44</v>
      </c>
      <c r="C672" s="1" t="s">
        <v>90</v>
      </c>
      <c r="D672" s="1" t="s">
        <v>9</v>
      </c>
      <c r="E672" s="2">
        <v>42437.457638888889</v>
      </c>
      <c r="F672" s="1" t="s">
        <v>6</v>
      </c>
      <c r="G672" s="1">
        <v>195024</v>
      </c>
      <c r="H672" s="1">
        <v>19</v>
      </c>
      <c r="I672" s="1" t="s">
        <v>81</v>
      </c>
      <c r="J672" s="1">
        <f>+Table2[[#This Row],[Ventas]]/Table2[[#This Row],[Cantidad]]</f>
        <v>10264.421052631578</v>
      </c>
      <c r="K672" s="1" t="str">
        <f>+_xlfn.IFS(Table2[[#This Row],[Ventas]]&gt;200000,"Alta", Table2[[#This Row],[Ventas]]&gt;100000,"Media",TRUE,"Bajo")</f>
        <v>Media</v>
      </c>
    </row>
    <row r="673" spans="1:11" x14ac:dyDescent="0.25">
      <c r="A673" s="1" t="s">
        <v>101</v>
      </c>
      <c r="B673" s="1" t="s">
        <v>128</v>
      </c>
      <c r="C673" s="1" t="s">
        <v>91</v>
      </c>
      <c r="D673" s="1" t="s">
        <v>9</v>
      </c>
      <c r="E673" s="2">
        <v>42430.457638888889</v>
      </c>
      <c r="F673" s="1" t="s">
        <v>6</v>
      </c>
      <c r="G673" s="1">
        <v>59374</v>
      </c>
      <c r="H673" s="1">
        <v>24</v>
      </c>
      <c r="I673" s="1" t="s">
        <v>79</v>
      </c>
      <c r="J673" s="1">
        <f>+Table2[[#This Row],[Ventas]]/Table2[[#This Row],[Cantidad]]</f>
        <v>2473.9166666666665</v>
      </c>
      <c r="K673" s="1" t="str">
        <f>+_xlfn.IFS(Table2[[#This Row],[Ventas]]&gt;200000,"Alta", Table2[[#This Row],[Ventas]]&gt;100000,"Media",TRUE,"Bajo")</f>
        <v>Bajo</v>
      </c>
    </row>
    <row r="674" spans="1:11" x14ac:dyDescent="0.25">
      <c r="A674" s="1" t="s">
        <v>101</v>
      </c>
      <c r="B674" s="1" t="s">
        <v>128</v>
      </c>
      <c r="C674" s="1" t="s">
        <v>91</v>
      </c>
      <c r="D674" s="1" t="s">
        <v>9</v>
      </c>
      <c r="E674" s="2">
        <v>42430.457638888889</v>
      </c>
      <c r="F674" s="1" t="s">
        <v>6</v>
      </c>
      <c r="G674" s="1">
        <v>243567</v>
      </c>
      <c r="H674" s="1">
        <v>20</v>
      </c>
      <c r="I674" s="1" t="s">
        <v>81</v>
      </c>
      <c r="J674" s="1">
        <f>+Table2[[#This Row],[Ventas]]/Table2[[#This Row],[Cantidad]]</f>
        <v>12178.35</v>
      </c>
      <c r="K674" s="1" t="str">
        <f>+_xlfn.IFS(Table2[[#This Row],[Ventas]]&gt;200000,"Alta", Table2[[#This Row],[Ventas]]&gt;100000,"Media",TRUE,"Bajo")</f>
        <v>Alta</v>
      </c>
    </row>
    <row r="675" spans="1:11" x14ac:dyDescent="0.25">
      <c r="A675" s="1" t="s">
        <v>101</v>
      </c>
      <c r="B675" s="1" t="s">
        <v>121</v>
      </c>
      <c r="C675" s="1" t="s">
        <v>92</v>
      </c>
      <c r="D675" s="1" t="s">
        <v>5</v>
      </c>
      <c r="E675" s="2">
        <v>42454.457638888889</v>
      </c>
      <c r="F675" s="1" t="s">
        <v>6</v>
      </c>
      <c r="G675" s="1">
        <v>178289</v>
      </c>
      <c r="H675" s="1">
        <v>30</v>
      </c>
      <c r="I675" s="1" t="s">
        <v>93</v>
      </c>
      <c r="J675" s="1">
        <f>+Table2[[#This Row],[Ventas]]/Table2[[#This Row],[Cantidad]]</f>
        <v>5942.9666666666662</v>
      </c>
      <c r="K675" s="1" t="str">
        <f>+_xlfn.IFS(Table2[[#This Row],[Ventas]]&gt;200000,"Alta", Table2[[#This Row],[Ventas]]&gt;100000,"Media",TRUE,"Bajo")</f>
        <v>Media</v>
      </c>
    </row>
    <row r="676" spans="1:11" x14ac:dyDescent="0.25">
      <c r="A676" s="1" t="s">
        <v>102</v>
      </c>
      <c r="B676" s="1" t="s">
        <v>4</v>
      </c>
      <c r="C676" s="1" t="s">
        <v>92</v>
      </c>
      <c r="D676" s="1" t="s">
        <v>5</v>
      </c>
      <c r="E676" s="2">
        <v>42454.457638888889</v>
      </c>
      <c r="F676" s="1" t="s">
        <v>6</v>
      </c>
      <c r="G676" s="1">
        <v>82993</v>
      </c>
      <c r="H676" s="1">
        <v>29</v>
      </c>
      <c r="I676" s="1" t="s">
        <v>93</v>
      </c>
      <c r="J676" s="1">
        <f>+Table2[[#This Row],[Ventas]]/Table2[[#This Row],[Cantidad]]</f>
        <v>2861.8275862068967</v>
      </c>
      <c r="K676" s="1" t="str">
        <f>+_xlfn.IFS(Table2[[#This Row],[Ventas]]&gt;200000,"Alta", Table2[[#This Row],[Ventas]]&gt;100000,"Media",TRUE,"Bajo")</f>
        <v>Bajo</v>
      </c>
    </row>
    <row r="677" spans="1:11" x14ac:dyDescent="0.25">
      <c r="A677" s="1" t="s">
        <v>102</v>
      </c>
      <c r="B677" s="1" t="s">
        <v>115</v>
      </c>
      <c r="C677" s="1" t="s">
        <v>90</v>
      </c>
      <c r="D677" s="1" t="s">
        <v>9</v>
      </c>
      <c r="E677" s="2">
        <v>42430.457638888889</v>
      </c>
      <c r="F677" s="1" t="s">
        <v>7</v>
      </c>
      <c r="G677" s="1">
        <v>195651</v>
      </c>
      <c r="H677" s="1">
        <v>35</v>
      </c>
      <c r="I677" s="1" t="s">
        <v>82</v>
      </c>
      <c r="J677" s="1">
        <f>+Table2[[#This Row],[Ventas]]/Table2[[#This Row],[Cantidad]]</f>
        <v>5590.028571428571</v>
      </c>
      <c r="K677" s="1" t="str">
        <f>+_xlfn.IFS(Table2[[#This Row],[Ventas]]&gt;200000,"Alta", Table2[[#This Row],[Ventas]]&gt;100000,"Media",TRUE,"Bajo")</f>
        <v>Media</v>
      </c>
    </row>
    <row r="678" spans="1:11" x14ac:dyDescent="0.25">
      <c r="A678" s="1" t="s">
        <v>102</v>
      </c>
      <c r="B678" s="1" t="s">
        <v>128</v>
      </c>
      <c r="C678" s="1" t="s">
        <v>91</v>
      </c>
      <c r="D678" s="1" t="s">
        <v>9</v>
      </c>
      <c r="E678" s="2">
        <v>42430.457638888889</v>
      </c>
      <c r="F678" s="1" t="s">
        <v>6</v>
      </c>
      <c r="G678" s="1">
        <v>89550</v>
      </c>
      <c r="H678" s="1">
        <v>29</v>
      </c>
      <c r="I678" s="1" t="s">
        <v>79</v>
      </c>
      <c r="J678" s="1">
        <f>+Table2[[#This Row],[Ventas]]/Table2[[#This Row],[Cantidad]]</f>
        <v>3087.9310344827586</v>
      </c>
      <c r="K678" s="1" t="str">
        <f>+_xlfn.IFS(Table2[[#This Row],[Ventas]]&gt;200000,"Alta", Table2[[#This Row],[Ventas]]&gt;100000,"Media",TRUE,"Bajo")</f>
        <v>Bajo</v>
      </c>
    </row>
    <row r="679" spans="1:11" x14ac:dyDescent="0.25">
      <c r="A679" s="1" t="s">
        <v>102</v>
      </c>
      <c r="B679" s="1" t="s">
        <v>45</v>
      </c>
      <c r="C679" s="1" t="s">
        <v>91</v>
      </c>
      <c r="D679" s="1" t="s">
        <v>9</v>
      </c>
      <c r="E679" s="2">
        <v>42454.457638888889</v>
      </c>
      <c r="F679" s="1" t="s">
        <v>6</v>
      </c>
      <c r="G679" s="1">
        <v>61730</v>
      </c>
      <c r="H679" s="1">
        <v>29</v>
      </c>
      <c r="I679" s="1" t="s">
        <v>79</v>
      </c>
      <c r="J679" s="1">
        <f>+Table2[[#This Row],[Ventas]]/Table2[[#This Row],[Cantidad]]</f>
        <v>2128.6206896551726</v>
      </c>
      <c r="K679" s="1" t="str">
        <f>+_xlfn.IFS(Table2[[#This Row],[Ventas]]&gt;200000,"Alta", Table2[[#This Row],[Ventas]]&gt;100000,"Media",TRUE,"Bajo")</f>
        <v>Bajo</v>
      </c>
    </row>
    <row r="680" spans="1:11" x14ac:dyDescent="0.25">
      <c r="A680" s="1" t="s">
        <v>102</v>
      </c>
      <c r="B680" s="1" t="s">
        <v>133</v>
      </c>
      <c r="C680" s="1" t="s">
        <v>84</v>
      </c>
      <c r="D680" s="1" t="s">
        <v>5</v>
      </c>
      <c r="E680" s="2">
        <v>42460.457638888889</v>
      </c>
      <c r="F680" s="1" t="s">
        <v>6</v>
      </c>
      <c r="G680" s="1">
        <v>244178</v>
      </c>
      <c r="H680" s="1">
        <v>21</v>
      </c>
      <c r="I680" s="1" t="s">
        <v>93</v>
      </c>
      <c r="J680" s="1">
        <f>+Table2[[#This Row],[Ventas]]/Table2[[#This Row],[Cantidad]]</f>
        <v>11627.523809523809</v>
      </c>
      <c r="K680" s="1" t="str">
        <f>+_xlfn.IFS(Table2[[#This Row],[Ventas]]&gt;200000,"Alta", Table2[[#This Row],[Ventas]]&gt;100000,"Media",TRUE,"Bajo")</f>
        <v>Alta</v>
      </c>
    </row>
    <row r="681" spans="1:11" x14ac:dyDescent="0.25">
      <c r="A681" s="1" t="s">
        <v>102</v>
      </c>
      <c r="B681" s="1" t="s">
        <v>115</v>
      </c>
      <c r="C681" s="1" t="s">
        <v>91</v>
      </c>
      <c r="D681" s="1" t="s">
        <v>9</v>
      </c>
      <c r="E681" s="2">
        <v>42430.457638888889</v>
      </c>
      <c r="F681" s="1" t="s">
        <v>7</v>
      </c>
      <c r="G681" s="1">
        <v>147047</v>
      </c>
      <c r="H681" s="1">
        <v>33</v>
      </c>
      <c r="I681" s="1" t="s">
        <v>81</v>
      </c>
      <c r="J681" s="1">
        <f>+Table2[[#This Row],[Ventas]]/Table2[[#This Row],[Cantidad]]</f>
        <v>4455.969696969697</v>
      </c>
      <c r="K681" s="1" t="str">
        <f>+_xlfn.IFS(Table2[[#This Row],[Ventas]]&gt;200000,"Alta", Table2[[#This Row],[Ventas]]&gt;100000,"Media",TRUE,"Bajo")</f>
        <v>Media</v>
      </c>
    </row>
    <row r="682" spans="1:11" x14ac:dyDescent="0.25">
      <c r="A682" s="1" t="s">
        <v>102</v>
      </c>
      <c r="B682" s="1" t="s">
        <v>128</v>
      </c>
      <c r="C682" s="1" t="s">
        <v>91</v>
      </c>
      <c r="D682" s="1" t="s">
        <v>9</v>
      </c>
      <c r="E682" s="2">
        <v>42430.457638888889</v>
      </c>
      <c r="F682" s="1" t="s">
        <v>6</v>
      </c>
      <c r="G682" s="1">
        <v>180690</v>
      </c>
      <c r="H682" s="1">
        <v>32</v>
      </c>
      <c r="I682" s="1" t="s">
        <v>80</v>
      </c>
      <c r="J682" s="1">
        <f>+Table2[[#This Row],[Ventas]]/Table2[[#This Row],[Cantidad]]</f>
        <v>5646.5625</v>
      </c>
      <c r="K682" s="1" t="str">
        <f>+_xlfn.IFS(Table2[[#This Row],[Ventas]]&gt;200000,"Alta", Table2[[#This Row],[Ventas]]&gt;100000,"Media",TRUE,"Bajo")</f>
        <v>Media</v>
      </c>
    </row>
    <row r="683" spans="1:11" x14ac:dyDescent="0.25">
      <c r="A683" s="1" t="s">
        <v>95</v>
      </c>
      <c r="B683" s="1" t="s">
        <v>143</v>
      </c>
      <c r="C683" s="1" t="s">
        <v>92</v>
      </c>
      <c r="D683" s="1" t="s">
        <v>5</v>
      </c>
      <c r="E683" s="2">
        <v>42517.457638888889</v>
      </c>
      <c r="F683" s="1" t="s">
        <v>6</v>
      </c>
      <c r="G683" s="1">
        <v>214986</v>
      </c>
      <c r="H683" s="1">
        <v>19</v>
      </c>
      <c r="I683" s="1" t="s">
        <v>93</v>
      </c>
      <c r="J683" s="1">
        <f>+Table2[[#This Row],[Ventas]]/Table2[[#This Row],[Cantidad]]</f>
        <v>11315.052631578947</v>
      </c>
      <c r="K683" s="1" t="str">
        <f>+_xlfn.IFS(Table2[[#This Row],[Ventas]]&gt;200000,"Alta", Table2[[#This Row],[Ventas]]&gt;100000,"Media",TRUE,"Bajo")</f>
        <v>Alta</v>
      </c>
    </row>
    <row r="684" spans="1:11" x14ac:dyDescent="0.25">
      <c r="A684" s="1" t="s">
        <v>96</v>
      </c>
      <c r="B684" s="1" t="s">
        <v>21</v>
      </c>
      <c r="C684" s="1" t="s">
        <v>87</v>
      </c>
      <c r="D684" s="1" t="s">
        <v>9</v>
      </c>
      <c r="E684" s="2">
        <v>42491.457638888889</v>
      </c>
      <c r="F684" s="1" t="s">
        <v>6</v>
      </c>
      <c r="G684" s="1">
        <v>237694</v>
      </c>
      <c r="H684" s="1">
        <v>30</v>
      </c>
      <c r="I684" s="1" t="s">
        <v>79</v>
      </c>
      <c r="J684" s="1">
        <f>+Table2[[#This Row],[Ventas]]/Table2[[#This Row],[Cantidad]]</f>
        <v>7923.1333333333332</v>
      </c>
      <c r="K684" s="1" t="str">
        <f>+_xlfn.IFS(Table2[[#This Row],[Ventas]]&gt;200000,"Alta", Table2[[#This Row],[Ventas]]&gt;100000,"Media",TRUE,"Bajo")</f>
        <v>Alta</v>
      </c>
    </row>
    <row r="685" spans="1:11" x14ac:dyDescent="0.25">
      <c r="A685" s="1" t="s">
        <v>97</v>
      </c>
      <c r="B685" s="1" t="s">
        <v>21</v>
      </c>
      <c r="C685" s="1" t="s">
        <v>87</v>
      </c>
      <c r="D685" s="1" t="s">
        <v>9</v>
      </c>
      <c r="E685" s="2">
        <v>42491.457638888889</v>
      </c>
      <c r="F685" s="1" t="s">
        <v>6</v>
      </c>
      <c r="G685" s="1">
        <v>135816</v>
      </c>
      <c r="H685" s="1">
        <v>18</v>
      </c>
      <c r="I685" s="1" t="s">
        <v>80</v>
      </c>
      <c r="J685" s="1">
        <f>+Table2[[#This Row],[Ventas]]/Table2[[#This Row],[Cantidad]]</f>
        <v>7545.333333333333</v>
      </c>
      <c r="K685" s="1" t="str">
        <f>+_xlfn.IFS(Table2[[#This Row],[Ventas]]&gt;200000,"Alta", Table2[[#This Row],[Ventas]]&gt;100000,"Media",TRUE,"Bajo")</f>
        <v>Media</v>
      </c>
    </row>
    <row r="686" spans="1:11" x14ac:dyDescent="0.25">
      <c r="A686" s="1" t="s">
        <v>98</v>
      </c>
      <c r="B686" s="1" t="s">
        <v>145</v>
      </c>
      <c r="C686" s="1" t="s">
        <v>91</v>
      </c>
      <c r="D686" s="1" t="s">
        <v>9</v>
      </c>
      <c r="E686" s="2">
        <v>42491.457638888889</v>
      </c>
      <c r="F686" s="1" t="s">
        <v>6</v>
      </c>
      <c r="G686" s="1">
        <v>198335</v>
      </c>
      <c r="H686" s="1">
        <v>23</v>
      </c>
      <c r="I686" s="1" t="s">
        <v>79</v>
      </c>
      <c r="J686" s="1">
        <f>+Table2[[#This Row],[Ventas]]/Table2[[#This Row],[Cantidad]]</f>
        <v>8623.2608695652179</v>
      </c>
      <c r="K686" s="1" t="str">
        <f>+_xlfn.IFS(Table2[[#This Row],[Ventas]]&gt;200000,"Alta", Table2[[#This Row],[Ventas]]&gt;100000,"Media",TRUE,"Bajo")</f>
        <v>Media</v>
      </c>
    </row>
    <row r="687" spans="1:11" x14ac:dyDescent="0.25">
      <c r="A687" s="1" t="s">
        <v>98</v>
      </c>
      <c r="B687" s="1" t="s">
        <v>145</v>
      </c>
      <c r="C687" s="1" t="s">
        <v>91</v>
      </c>
      <c r="D687" s="1" t="s">
        <v>9</v>
      </c>
      <c r="E687" s="2">
        <v>42491.457638888889</v>
      </c>
      <c r="F687" s="1" t="s">
        <v>6</v>
      </c>
      <c r="G687" s="1">
        <v>216752</v>
      </c>
      <c r="H687" s="1">
        <v>24</v>
      </c>
      <c r="I687" s="1" t="s">
        <v>79</v>
      </c>
      <c r="J687" s="1">
        <f>+Table2[[#This Row],[Ventas]]/Table2[[#This Row],[Cantidad]]</f>
        <v>9031.3333333333339</v>
      </c>
      <c r="K687" s="1" t="str">
        <f>+_xlfn.IFS(Table2[[#This Row],[Ventas]]&gt;200000,"Alta", Table2[[#This Row],[Ventas]]&gt;100000,"Media",TRUE,"Bajo")</f>
        <v>Alta</v>
      </c>
    </row>
    <row r="688" spans="1:11" x14ac:dyDescent="0.25">
      <c r="A688" s="1" t="s">
        <v>98</v>
      </c>
      <c r="B688" s="1" t="s">
        <v>21</v>
      </c>
      <c r="C688" s="1" t="s">
        <v>87</v>
      </c>
      <c r="D688" s="1" t="s">
        <v>9</v>
      </c>
      <c r="E688" s="2">
        <v>42491.457638888889</v>
      </c>
      <c r="F688" s="1" t="s">
        <v>6</v>
      </c>
      <c r="G688" s="1">
        <v>225035</v>
      </c>
      <c r="H688" s="1">
        <v>21</v>
      </c>
      <c r="I688" s="1" t="s">
        <v>81</v>
      </c>
      <c r="J688" s="1">
        <f>+Table2[[#This Row],[Ventas]]/Table2[[#This Row],[Cantidad]]</f>
        <v>10715.952380952382</v>
      </c>
      <c r="K688" s="1" t="str">
        <f>+_xlfn.IFS(Table2[[#This Row],[Ventas]]&gt;200000,"Alta", Table2[[#This Row],[Ventas]]&gt;100000,"Media",TRUE,"Bajo")</f>
        <v>Alta</v>
      </c>
    </row>
    <row r="689" spans="1:11" x14ac:dyDescent="0.25">
      <c r="A689" s="1" t="s">
        <v>98</v>
      </c>
      <c r="B689" s="1" t="s">
        <v>145</v>
      </c>
      <c r="C689" s="1" t="s">
        <v>91</v>
      </c>
      <c r="D689" s="1" t="s">
        <v>9</v>
      </c>
      <c r="E689" s="2">
        <v>42491.457638888889</v>
      </c>
      <c r="F689" s="1" t="s">
        <v>6</v>
      </c>
      <c r="G689" s="1">
        <v>60671</v>
      </c>
      <c r="H689" s="1">
        <v>22</v>
      </c>
      <c r="I689" s="1" t="s">
        <v>82</v>
      </c>
      <c r="J689" s="1">
        <f>+Table2[[#This Row],[Ventas]]/Table2[[#This Row],[Cantidad]]</f>
        <v>2757.7727272727275</v>
      </c>
      <c r="K689" s="1" t="str">
        <f>+_xlfn.IFS(Table2[[#This Row],[Ventas]]&gt;200000,"Alta", Table2[[#This Row],[Ventas]]&gt;100000,"Media",TRUE,"Bajo")</f>
        <v>Bajo</v>
      </c>
    </row>
    <row r="690" spans="1:11" x14ac:dyDescent="0.25">
      <c r="A690" s="1" t="s">
        <v>98</v>
      </c>
      <c r="B690" s="1" t="s">
        <v>21</v>
      </c>
      <c r="C690" s="1" t="s">
        <v>87</v>
      </c>
      <c r="D690" s="1" t="s">
        <v>9</v>
      </c>
      <c r="E690" s="2">
        <v>42491.457638888889</v>
      </c>
      <c r="F690" s="1" t="s">
        <v>6</v>
      </c>
      <c r="G690" s="1">
        <v>95869</v>
      </c>
      <c r="H690" s="1">
        <v>33</v>
      </c>
      <c r="I690" s="1" t="s">
        <v>79</v>
      </c>
      <c r="J690" s="1">
        <f>+Table2[[#This Row],[Ventas]]/Table2[[#This Row],[Cantidad]]</f>
        <v>2905.121212121212</v>
      </c>
      <c r="K690" s="1" t="str">
        <f>+_xlfn.IFS(Table2[[#This Row],[Ventas]]&gt;200000,"Alta", Table2[[#This Row],[Ventas]]&gt;100000,"Media",TRUE,"Bajo")</f>
        <v>Bajo</v>
      </c>
    </row>
    <row r="691" spans="1:11" x14ac:dyDescent="0.25">
      <c r="A691" s="1" t="s">
        <v>98</v>
      </c>
      <c r="B691" s="1" t="s">
        <v>40</v>
      </c>
      <c r="C691" s="1" t="s">
        <v>92</v>
      </c>
      <c r="D691" s="1" t="s">
        <v>5</v>
      </c>
      <c r="E691" s="2">
        <v>42514.457638888889</v>
      </c>
      <c r="F691" s="1" t="s">
        <v>6</v>
      </c>
      <c r="G691" s="1">
        <v>168365</v>
      </c>
      <c r="H691" s="1">
        <v>30</v>
      </c>
      <c r="I691" s="1" t="s">
        <v>93</v>
      </c>
      <c r="J691" s="1">
        <f>+Table2[[#This Row],[Ventas]]/Table2[[#This Row],[Cantidad]]</f>
        <v>5612.166666666667</v>
      </c>
      <c r="K691" s="1" t="str">
        <f>+_xlfn.IFS(Table2[[#This Row],[Ventas]]&gt;200000,"Alta", Table2[[#This Row],[Ventas]]&gt;100000,"Media",TRUE,"Bajo")</f>
        <v>Media</v>
      </c>
    </row>
    <row r="692" spans="1:11" x14ac:dyDescent="0.25">
      <c r="A692" s="1" t="s">
        <v>98</v>
      </c>
      <c r="B692" s="1" t="s">
        <v>145</v>
      </c>
      <c r="C692" s="1" t="s">
        <v>91</v>
      </c>
      <c r="D692" s="1" t="s">
        <v>9</v>
      </c>
      <c r="E692" s="2">
        <v>42491.457638888889</v>
      </c>
      <c r="F692" s="1" t="s">
        <v>6</v>
      </c>
      <c r="G692" s="1">
        <v>148772</v>
      </c>
      <c r="H692" s="1">
        <v>19</v>
      </c>
      <c r="I692" s="1" t="s">
        <v>79</v>
      </c>
      <c r="J692" s="1">
        <f>+Table2[[#This Row],[Ventas]]/Table2[[#This Row],[Cantidad]]</f>
        <v>7830.105263157895</v>
      </c>
      <c r="K692" s="1" t="str">
        <f>+_xlfn.IFS(Table2[[#This Row],[Ventas]]&gt;200000,"Alta", Table2[[#This Row],[Ventas]]&gt;100000,"Media",TRUE,"Bajo")</f>
        <v>Media</v>
      </c>
    </row>
    <row r="693" spans="1:11" x14ac:dyDescent="0.25">
      <c r="A693" s="1" t="s">
        <v>98</v>
      </c>
      <c r="B693" s="1" t="s">
        <v>21</v>
      </c>
      <c r="C693" s="1" t="s">
        <v>87</v>
      </c>
      <c r="D693" s="1" t="s">
        <v>9</v>
      </c>
      <c r="E693" s="2">
        <v>42491.457638888889</v>
      </c>
      <c r="F693" s="1" t="s">
        <v>6</v>
      </c>
      <c r="G693" s="1">
        <v>57931</v>
      </c>
      <c r="H693" s="1">
        <v>40</v>
      </c>
      <c r="I693" s="1" t="s">
        <v>81</v>
      </c>
      <c r="J693" s="1">
        <f>+Table2[[#This Row],[Ventas]]/Table2[[#This Row],[Cantidad]]</f>
        <v>1448.2750000000001</v>
      </c>
      <c r="K693" s="1" t="str">
        <f>+_xlfn.IFS(Table2[[#This Row],[Ventas]]&gt;200000,"Alta", Table2[[#This Row],[Ventas]]&gt;100000,"Media",TRUE,"Bajo")</f>
        <v>Bajo</v>
      </c>
    </row>
    <row r="694" spans="1:11" x14ac:dyDescent="0.25">
      <c r="A694" s="1" t="s">
        <v>99</v>
      </c>
      <c r="B694" s="1" t="s">
        <v>145</v>
      </c>
      <c r="C694" s="1" t="s">
        <v>91</v>
      </c>
      <c r="D694" s="1" t="s">
        <v>9</v>
      </c>
      <c r="E694" s="2">
        <v>42491.457638888889</v>
      </c>
      <c r="F694" s="1" t="s">
        <v>6</v>
      </c>
      <c r="G694" s="1">
        <v>192702</v>
      </c>
      <c r="H694" s="1">
        <v>41</v>
      </c>
      <c r="I694" s="1" t="s">
        <v>79</v>
      </c>
      <c r="J694" s="1">
        <f>+Table2[[#This Row],[Ventas]]/Table2[[#This Row],[Cantidad]]</f>
        <v>4700.0487804878048</v>
      </c>
      <c r="K694" s="1" t="str">
        <f>+_xlfn.IFS(Table2[[#This Row],[Ventas]]&gt;200000,"Alta", Table2[[#This Row],[Ventas]]&gt;100000,"Media",TRUE,"Bajo")</f>
        <v>Media</v>
      </c>
    </row>
    <row r="695" spans="1:11" x14ac:dyDescent="0.25">
      <c r="A695" s="1" t="s">
        <v>99</v>
      </c>
      <c r="B695" s="1" t="s">
        <v>145</v>
      </c>
      <c r="C695" s="1" t="s">
        <v>91</v>
      </c>
      <c r="D695" s="1" t="s">
        <v>9</v>
      </c>
      <c r="E695" s="2">
        <v>42491.457638888889</v>
      </c>
      <c r="F695" s="1" t="s">
        <v>6</v>
      </c>
      <c r="G695" s="1">
        <v>127812</v>
      </c>
      <c r="H695" s="1">
        <v>29</v>
      </c>
      <c r="I695" s="1" t="s">
        <v>81</v>
      </c>
      <c r="J695" s="1">
        <f>+Table2[[#This Row],[Ventas]]/Table2[[#This Row],[Cantidad]]</f>
        <v>4407.3103448275861</v>
      </c>
      <c r="K695" s="1" t="str">
        <f>+_xlfn.IFS(Table2[[#This Row],[Ventas]]&gt;200000,"Alta", Table2[[#This Row],[Ventas]]&gt;100000,"Media",TRUE,"Bajo")</f>
        <v>Media</v>
      </c>
    </row>
    <row r="696" spans="1:11" x14ac:dyDescent="0.25">
      <c r="A696" s="1" t="s">
        <v>99</v>
      </c>
      <c r="B696" s="1" t="s">
        <v>145</v>
      </c>
      <c r="C696" s="1" t="s">
        <v>91</v>
      </c>
      <c r="D696" s="1" t="s">
        <v>9</v>
      </c>
      <c r="E696" s="2">
        <v>42491.457638888889</v>
      </c>
      <c r="F696" s="1" t="s">
        <v>6</v>
      </c>
      <c r="G696" s="1">
        <v>94571</v>
      </c>
      <c r="H696" s="1">
        <v>42</v>
      </c>
      <c r="I696" s="1" t="s">
        <v>79</v>
      </c>
      <c r="J696" s="1">
        <f>+Table2[[#This Row],[Ventas]]/Table2[[#This Row],[Cantidad]]</f>
        <v>2251.6904761904761</v>
      </c>
      <c r="K696" s="1" t="str">
        <f>+_xlfn.IFS(Table2[[#This Row],[Ventas]]&gt;200000,"Alta", Table2[[#This Row],[Ventas]]&gt;100000,"Media",TRUE,"Bajo")</f>
        <v>Bajo</v>
      </c>
    </row>
    <row r="697" spans="1:11" x14ac:dyDescent="0.25">
      <c r="A697" s="1" t="s">
        <v>99</v>
      </c>
      <c r="B697" s="1" t="s">
        <v>145</v>
      </c>
      <c r="C697" s="1" t="s">
        <v>91</v>
      </c>
      <c r="D697" s="1" t="s">
        <v>9</v>
      </c>
      <c r="E697" s="2">
        <v>42491.457638888889</v>
      </c>
      <c r="F697" s="1" t="s">
        <v>6</v>
      </c>
      <c r="G697" s="1">
        <v>202782</v>
      </c>
      <c r="H697" s="1">
        <v>37</v>
      </c>
      <c r="I697" s="1" t="s">
        <v>79</v>
      </c>
      <c r="J697" s="1">
        <f>+Table2[[#This Row],[Ventas]]/Table2[[#This Row],[Cantidad]]</f>
        <v>5480.594594594595</v>
      </c>
      <c r="K697" s="1" t="str">
        <f>+_xlfn.IFS(Table2[[#This Row],[Ventas]]&gt;200000,"Alta", Table2[[#This Row],[Ventas]]&gt;100000,"Media",TRUE,"Bajo")</f>
        <v>Alta</v>
      </c>
    </row>
    <row r="698" spans="1:11" x14ac:dyDescent="0.25">
      <c r="A698" s="1" t="s">
        <v>99</v>
      </c>
      <c r="B698" s="1" t="s">
        <v>138</v>
      </c>
      <c r="C698" s="1" t="s">
        <v>92</v>
      </c>
      <c r="D698" s="1" t="s">
        <v>5</v>
      </c>
      <c r="E698" s="2">
        <v>42517.457638888889</v>
      </c>
      <c r="F698" s="1" t="s">
        <v>6</v>
      </c>
      <c r="G698" s="1">
        <v>148894</v>
      </c>
      <c r="H698" s="1">
        <v>34</v>
      </c>
      <c r="I698" s="1" t="s">
        <v>93</v>
      </c>
      <c r="J698" s="1">
        <f>+Table2[[#This Row],[Ventas]]/Table2[[#This Row],[Cantidad]]</f>
        <v>4379.2352941176468</v>
      </c>
      <c r="K698" s="1" t="str">
        <f>+_xlfn.IFS(Table2[[#This Row],[Ventas]]&gt;200000,"Alta", Table2[[#This Row],[Ventas]]&gt;100000,"Media",TRUE,"Bajo")</f>
        <v>Media</v>
      </c>
    </row>
    <row r="699" spans="1:11" x14ac:dyDescent="0.25">
      <c r="A699" s="1" t="s">
        <v>100</v>
      </c>
      <c r="B699" s="1" t="s">
        <v>145</v>
      </c>
      <c r="C699" s="1" t="s">
        <v>91</v>
      </c>
      <c r="D699" s="1" t="s">
        <v>9</v>
      </c>
      <c r="E699" s="2">
        <v>42491.457638888889</v>
      </c>
      <c r="F699" s="1" t="s">
        <v>6</v>
      </c>
      <c r="G699" s="1">
        <v>82666</v>
      </c>
      <c r="H699" s="1">
        <v>27</v>
      </c>
      <c r="I699" s="1" t="s">
        <v>81</v>
      </c>
      <c r="J699" s="1">
        <f>+Table2[[#This Row],[Ventas]]/Table2[[#This Row],[Cantidad]]</f>
        <v>3061.7037037037039</v>
      </c>
      <c r="K699" s="1" t="str">
        <f>+_xlfn.IFS(Table2[[#This Row],[Ventas]]&gt;200000,"Alta", Table2[[#This Row],[Ventas]]&gt;100000,"Media",TRUE,"Bajo")</f>
        <v>Bajo</v>
      </c>
    </row>
    <row r="700" spans="1:11" x14ac:dyDescent="0.25">
      <c r="A700" s="1" t="s">
        <v>100</v>
      </c>
      <c r="B700" s="1" t="s">
        <v>21</v>
      </c>
      <c r="C700" s="1" t="s">
        <v>87</v>
      </c>
      <c r="D700" s="1" t="s">
        <v>9</v>
      </c>
      <c r="E700" s="2">
        <v>42491.457638888889</v>
      </c>
      <c r="F700" s="1" t="s">
        <v>6</v>
      </c>
      <c r="G700" s="1">
        <v>236895</v>
      </c>
      <c r="H700" s="1">
        <v>20</v>
      </c>
      <c r="I700" s="1" t="s">
        <v>81</v>
      </c>
      <c r="J700" s="1">
        <f>+Table2[[#This Row],[Ventas]]/Table2[[#This Row],[Cantidad]]</f>
        <v>11844.75</v>
      </c>
      <c r="K700" s="1" t="str">
        <f>+_xlfn.IFS(Table2[[#This Row],[Ventas]]&gt;200000,"Alta", Table2[[#This Row],[Ventas]]&gt;100000,"Media",TRUE,"Bajo")</f>
        <v>Alta</v>
      </c>
    </row>
    <row r="701" spans="1:11" x14ac:dyDescent="0.25">
      <c r="A701" s="1" t="s">
        <v>100</v>
      </c>
      <c r="B701" s="1" t="s">
        <v>143</v>
      </c>
      <c r="C701" s="1" t="s">
        <v>92</v>
      </c>
      <c r="D701" s="1" t="s">
        <v>5</v>
      </c>
      <c r="E701" s="2">
        <v>42521.457638888889</v>
      </c>
      <c r="F701" s="1" t="s">
        <v>6</v>
      </c>
      <c r="G701" s="1">
        <v>227528</v>
      </c>
      <c r="H701" s="1">
        <v>30</v>
      </c>
      <c r="I701" s="1" t="s">
        <v>81</v>
      </c>
      <c r="J701" s="1">
        <f>+Table2[[#This Row],[Ventas]]/Table2[[#This Row],[Cantidad]]</f>
        <v>7584.2666666666664</v>
      </c>
      <c r="K701" s="1" t="str">
        <f>+_xlfn.IFS(Table2[[#This Row],[Ventas]]&gt;200000,"Alta", Table2[[#This Row],[Ventas]]&gt;100000,"Media",TRUE,"Bajo")</f>
        <v>Alta</v>
      </c>
    </row>
    <row r="702" spans="1:11" x14ac:dyDescent="0.25">
      <c r="A702" s="1" t="s">
        <v>100</v>
      </c>
      <c r="B702" s="1" t="s">
        <v>145</v>
      </c>
      <c r="C702" s="1" t="s">
        <v>91</v>
      </c>
      <c r="D702" s="1" t="s">
        <v>9</v>
      </c>
      <c r="E702" s="2">
        <v>42491.457638888889</v>
      </c>
      <c r="F702" s="1" t="s">
        <v>6</v>
      </c>
      <c r="G702" s="1">
        <v>236419</v>
      </c>
      <c r="H702" s="1">
        <v>23</v>
      </c>
      <c r="I702" s="1" t="s">
        <v>81</v>
      </c>
      <c r="J702" s="1">
        <f>+Table2[[#This Row],[Ventas]]/Table2[[#This Row],[Cantidad]]</f>
        <v>10279.08695652174</v>
      </c>
      <c r="K702" s="1" t="str">
        <f>+_xlfn.IFS(Table2[[#This Row],[Ventas]]&gt;200000,"Alta", Table2[[#This Row],[Ventas]]&gt;100000,"Media",TRUE,"Bajo")</f>
        <v>Alta</v>
      </c>
    </row>
    <row r="703" spans="1:11" x14ac:dyDescent="0.25">
      <c r="A703" s="1" t="s">
        <v>100</v>
      </c>
      <c r="B703" s="1" t="s">
        <v>42</v>
      </c>
      <c r="C703" s="1" t="s">
        <v>92</v>
      </c>
      <c r="D703" s="1" t="s">
        <v>5</v>
      </c>
      <c r="E703" s="2">
        <v>42509.457638888889</v>
      </c>
      <c r="F703" s="1" t="s">
        <v>6</v>
      </c>
      <c r="G703" s="1">
        <v>167326</v>
      </c>
      <c r="H703" s="1">
        <v>37</v>
      </c>
      <c r="I703" s="1" t="s">
        <v>93</v>
      </c>
      <c r="J703" s="1">
        <f>+Table2[[#This Row],[Ventas]]/Table2[[#This Row],[Cantidad]]</f>
        <v>4522.3243243243242</v>
      </c>
      <c r="K703" s="1" t="str">
        <f>+_xlfn.IFS(Table2[[#This Row],[Ventas]]&gt;200000,"Alta", Table2[[#This Row],[Ventas]]&gt;100000,"Media",TRUE,"Bajo")</f>
        <v>Media</v>
      </c>
    </row>
    <row r="704" spans="1:11" x14ac:dyDescent="0.25">
      <c r="A704" s="1" t="s">
        <v>101</v>
      </c>
      <c r="B704" s="1" t="s">
        <v>21</v>
      </c>
      <c r="C704" s="1" t="s">
        <v>87</v>
      </c>
      <c r="D704" s="1" t="s">
        <v>9</v>
      </c>
      <c r="E704" s="2">
        <v>42491.457638888889</v>
      </c>
      <c r="F704" s="1" t="s">
        <v>6</v>
      </c>
      <c r="G704" s="1">
        <v>56636</v>
      </c>
      <c r="H704" s="1">
        <v>33</v>
      </c>
      <c r="I704" s="1" t="s">
        <v>79</v>
      </c>
      <c r="J704" s="1">
        <f>+Table2[[#This Row],[Ventas]]/Table2[[#This Row],[Cantidad]]</f>
        <v>1716.2424242424242</v>
      </c>
      <c r="K704" s="1" t="str">
        <f>+_xlfn.IFS(Table2[[#This Row],[Ventas]]&gt;200000,"Alta", Table2[[#This Row],[Ventas]]&gt;100000,"Media",TRUE,"Bajo")</f>
        <v>Bajo</v>
      </c>
    </row>
    <row r="705" spans="1:11" x14ac:dyDescent="0.25">
      <c r="A705" s="1" t="s">
        <v>101</v>
      </c>
      <c r="B705" s="1" t="s">
        <v>132</v>
      </c>
      <c r="C705" s="1" t="s">
        <v>92</v>
      </c>
      <c r="D705" s="1" t="s">
        <v>5</v>
      </c>
      <c r="E705" s="2">
        <v>42517.457638888889</v>
      </c>
      <c r="F705" s="1" t="s">
        <v>6</v>
      </c>
      <c r="G705" s="1">
        <v>74466</v>
      </c>
      <c r="H705" s="1">
        <v>21</v>
      </c>
      <c r="I705" s="1" t="s">
        <v>93</v>
      </c>
      <c r="J705" s="1">
        <f>+Table2[[#This Row],[Ventas]]/Table2[[#This Row],[Cantidad]]</f>
        <v>3546</v>
      </c>
      <c r="K705" s="1" t="str">
        <f>+_xlfn.IFS(Table2[[#This Row],[Ventas]]&gt;200000,"Alta", Table2[[#This Row],[Ventas]]&gt;100000,"Media",TRUE,"Bajo")</f>
        <v>Bajo</v>
      </c>
    </row>
    <row r="706" spans="1:11" x14ac:dyDescent="0.25">
      <c r="A706" s="1" t="s">
        <v>102</v>
      </c>
      <c r="B706" s="1" t="s">
        <v>145</v>
      </c>
      <c r="C706" s="1" t="s">
        <v>91</v>
      </c>
      <c r="D706" s="1" t="s">
        <v>9</v>
      </c>
      <c r="E706" s="2">
        <v>42491.457638888889</v>
      </c>
      <c r="F706" s="1" t="s">
        <v>6</v>
      </c>
      <c r="G706" s="1">
        <v>139098</v>
      </c>
      <c r="H706" s="1">
        <v>35</v>
      </c>
      <c r="I706" s="1" t="s">
        <v>81</v>
      </c>
      <c r="J706" s="1">
        <f>+Table2[[#This Row],[Ventas]]/Table2[[#This Row],[Cantidad]]</f>
        <v>3974.2285714285713</v>
      </c>
      <c r="K706" s="1" t="str">
        <f>+_xlfn.IFS(Table2[[#This Row],[Ventas]]&gt;200000,"Alta", Table2[[#This Row],[Ventas]]&gt;100000,"Media",TRUE,"Bajo")</f>
        <v>Media</v>
      </c>
    </row>
    <row r="707" spans="1:11" x14ac:dyDescent="0.25">
      <c r="A707" s="1" t="s">
        <v>102</v>
      </c>
      <c r="B707" s="1" t="s">
        <v>143</v>
      </c>
      <c r="C707" s="1" t="s">
        <v>92</v>
      </c>
      <c r="D707" s="1" t="s">
        <v>5</v>
      </c>
      <c r="E707" s="2">
        <v>42521.457638888889</v>
      </c>
      <c r="F707" s="1" t="s">
        <v>6</v>
      </c>
      <c r="G707" s="1">
        <v>178143</v>
      </c>
      <c r="H707" s="1">
        <v>37</v>
      </c>
      <c r="I707" s="1" t="s">
        <v>81</v>
      </c>
      <c r="J707" s="1">
        <f>+Table2[[#This Row],[Ventas]]/Table2[[#This Row],[Cantidad]]</f>
        <v>4814.6756756756758</v>
      </c>
      <c r="K707" s="1" t="str">
        <f>+_xlfn.IFS(Table2[[#This Row],[Ventas]]&gt;200000,"Alta", Table2[[#This Row],[Ventas]]&gt;100000,"Media",TRUE,"Bajo")</f>
        <v>Media</v>
      </c>
    </row>
    <row r="708" spans="1:11" x14ac:dyDescent="0.25">
      <c r="A708" s="1" t="s">
        <v>102</v>
      </c>
      <c r="B708" s="1" t="s">
        <v>42</v>
      </c>
      <c r="C708" s="1" t="s">
        <v>92</v>
      </c>
      <c r="D708" s="1" t="s">
        <v>5</v>
      </c>
      <c r="E708" s="2">
        <v>42517.457638888889</v>
      </c>
      <c r="F708" s="1" t="s">
        <v>6</v>
      </c>
      <c r="G708" s="1">
        <v>167348</v>
      </c>
      <c r="H708" s="1">
        <v>39</v>
      </c>
      <c r="I708" s="1" t="s">
        <v>93</v>
      </c>
      <c r="J708" s="1">
        <f>+Table2[[#This Row],[Ventas]]/Table2[[#This Row],[Cantidad]]</f>
        <v>4290.9743589743593</v>
      </c>
      <c r="K708" s="1" t="str">
        <f>+_xlfn.IFS(Table2[[#This Row],[Ventas]]&gt;200000,"Alta", Table2[[#This Row],[Ventas]]&gt;100000,"Media",TRUE,"Bajo")</f>
        <v>Media</v>
      </c>
    </row>
    <row r="709" spans="1:11" x14ac:dyDescent="0.25">
      <c r="A709" s="1" t="s">
        <v>95</v>
      </c>
      <c r="B709" s="1" t="s">
        <v>15</v>
      </c>
      <c r="C709" s="1" t="s">
        <v>92</v>
      </c>
      <c r="D709" s="1" t="s">
        <v>5</v>
      </c>
      <c r="E709" s="2">
        <v>42335.457638888889</v>
      </c>
      <c r="F709" s="1" t="s">
        <v>10</v>
      </c>
      <c r="G709" s="1">
        <v>129917</v>
      </c>
      <c r="H709" s="1">
        <v>33</v>
      </c>
      <c r="I709" s="1" t="s">
        <v>81</v>
      </c>
      <c r="J709" s="1">
        <f>+Table2[[#This Row],[Ventas]]/Table2[[#This Row],[Cantidad]]</f>
        <v>3936.878787878788</v>
      </c>
      <c r="K709" s="1" t="str">
        <f>+_xlfn.IFS(Table2[[#This Row],[Ventas]]&gt;200000,"Alta", Table2[[#This Row],[Ventas]]&gt;100000,"Media",TRUE,"Bajo")</f>
        <v>Media</v>
      </c>
    </row>
    <row r="710" spans="1:11" x14ac:dyDescent="0.25">
      <c r="A710" s="1" t="s">
        <v>95</v>
      </c>
      <c r="B710" s="1" t="s">
        <v>132</v>
      </c>
      <c r="C710" s="1" t="s">
        <v>87</v>
      </c>
      <c r="D710" s="1" t="s">
        <v>9</v>
      </c>
      <c r="E710" s="2">
        <v>42338.457638888889</v>
      </c>
      <c r="F710" s="1" t="s">
        <v>6</v>
      </c>
      <c r="G710" s="1">
        <v>180074</v>
      </c>
      <c r="H710" s="1">
        <v>37</v>
      </c>
      <c r="I710" s="1" t="s">
        <v>80</v>
      </c>
      <c r="J710" s="1">
        <f>+Table2[[#This Row],[Ventas]]/Table2[[#This Row],[Cantidad]]</f>
        <v>4866.864864864865</v>
      </c>
      <c r="K710" s="1" t="str">
        <f>+_xlfn.IFS(Table2[[#This Row],[Ventas]]&gt;200000,"Alta", Table2[[#This Row],[Ventas]]&gt;100000,"Media",TRUE,"Bajo")</f>
        <v>Media</v>
      </c>
    </row>
    <row r="711" spans="1:11" x14ac:dyDescent="0.25">
      <c r="A711" s="1" t="s">
        <v>97</v>
      </c>
      <c r="B711" s="1" t="s">
        <v>131</v>
      </c>
      <c r="C711" s="1" t="s">
        <v>86</v>
      </c>
      <c r="D711" s="1" t="s">
        <v>9</v>
      </c>
      <c r="E711" s="2">
        <v>42309.457638888889</v>
      </c>
      <c r="F711" s="1" t="s">
        <v>7</v>
      </c>
      <c r="G711" s="1">
        <v>235799</v>
      </c>
      <c r="H711" s="1">
        <v>23</v>
      </c>
      <c r="I711" s="1" t="s">
        <v>81</v>
      </c>
      <c r="J711" s="1">
        <f>+Table2[[#This Row],[Ventas]]/Table2[[#This Row],[Cantidad]]</f>
        <v>10252.130434782608</v>
      </c>
      <c r="K711" s="1" t="str">
        <f>+_xlfn.IFS(Table2[[#This Row],[Ventas]]&gt;200000,"Alta", Table2[[#This Row],[Ventas]]&gt;100000,"Media",TRUE,"Bajo")</f>
        <v>Alta</v>
      </c>
    </row>
    <row r="712" spans="1:11" x14ac:dyDescent="0.25">
      <c r="A712" s="1" t="s">
        <v>97</v>
      </c>
      <c r="B712" s="1" t="s">
        <v>117</v>
      </c>
      <c r="C712" s="1" t="s">
        <v>86</v>
      </c>
      <c r="D712" s="1" t="s">
        <v>5</v>
      </c>
      <c r="E712" s="2">
        <v>42309.457638888889</v>
      </c>
      <c r="F712" s="1" t="s">
        <v>6</v>
      </c>
      <c r="G712" s="1">
        <v>127126</v>
      </c>
      <c r="H712" s="1">
        <v>23</v>
      </c>
      <c r="I712" s="1" t="s">
        <v>79</v>
      </c>
      <c r="J712" s="1">
        <f>+Table2[[#This Row],[Ventas]]/Table2[[#This Row],[Cantidad]]</f>
        <v>5527.217391304348</v>
      </c>
      <c r="K712" s="1" t="str">
        <f>+_xlfn.IFS(Table2[[#This Row],[Ventas]]&gt;200000,"Alta", Table2[[#This Row],[Ventas]]&gt;100000,"Media",TRUE,"Bajo")</f>
        <v>Media</v>
      </c>
    </row>
    <row r="713" spans="1:11" x14ac:dyDescent="0.25">
      <c r="A713" s="1" t="s">
        <v>98</v>
      </c>
      <c r="B713" s="1" t="s">
        <v>24</v>
      </c>
      <c r="C713" s="1" t="s">
        <v>92</v>
      </c>
      <c r="D713" s="1" t="s">
        <v>5</v>
      </c>
      <c r="E713" s="2">
        <v>42338.457638888889</v>
      </c>
      <c r="F713" s="1" t="s">
        <v>6</v>
      </c>
      <c r="G713" s="1">
        <v>173340</v>
      </c>
      <c r="H713" s="1">
        <v>16</v>
      </c>
      <c r="I713" s="1" t="s">
        <v>79</v>
      </c>
      <c r="J713" s="1">
        <f>+Table2[[#This Row],[Ventas]]/Table2[[#This Row],[Cantidad]]</f>
        <v>10833.75</v>
      </c>
      <c r="K713" s="1" t="str">
        <f>+_xlfn.IFS(Table2[[#This Row],[Ventas]]&gt;200000,"Alta", Table2[[#This Row],[Ventas]]&gt;100000,"Media",TRUE,"Bajo")</f>
        <v>Media</v>
      </c>
    </row>
    <row r="714" spans="1:11" x14ac:dyDescent="0.25">
      <c r="A714" s="1" t="s">
        <v>98</v>
      </c>
      <c r="B714" s="1" t="s">
        <v>131</v>
      </c>
      <c r="C714" s="1" t="s">
        <v>86</v>
      </c>
      <c r="D714" s="1" t="s">
        <v>9</v>
      </c>
      <c r="E714" s="2">
        <v>42309.457638888889</v>
      </c>
      <c r="F714" s="1" t="s">
        <v>7</v>
      </c>
      <c r="G714" s="1">
        <v>62580</v>
      </c>
      <c r="H714" s="1">
        <v>16</v>
      </c>
      <c r="I714" s="1" t="s">
        <v>81</v>
      </c>
      <c r="J714" s="1">
        <f>+Table2[[#This Row],[Ventas]]/Table2[[#This Row],[Cantidad]]</f>
        <v>3911.25</v>
      </c>
      <c r="K714" s="1" t="str">
        <f>+_xlfn.IFS(Table2[[#This Row],[Ventas]]&gt;200000,"Alta", Table2[[#This Row],[Ventas]]&gt;100000,"Media",TRUE,"Bajo")</f>
        <v>Bajo</v>
      </c>
    </row>
    <row r="715" spans="1:11" x14ac:dyDescent="0.25">
      <c r="A715" s="1" t="s">
        <v>98</v>
      </c>
      <c r="B715" s="1" t="s">
        <v>117</v>
      </c>
      <c r="C715" s="1" t="s">
        <v>86</v>
      </c>
      <c r="D715" s="1" t="s">
        <v>5</v>
      </c>
      <c r="E715" s="2">
        <v>42309.457638888889</v>
      </c>
      <c r="F715" s="1" t="s">
        <v>6</v>
      </c>
      <c r="G715" s="1">
        <v>116079</v>
      </c>
      <c r="H715" s="1">
        <v>41</v>
      </c>
      <c r="I715" s="1" t="s">
        <v>79</v>
      </c>
      <c r="J715" s="1">
        <f>+Table2[[#This Row],[Ventas]]/Table2[[#This Row],[Cantidad]]</f>
        <v>2831.1951219512193</v>
      </c>
      <c r="K715" s="1" t="str">
        <f>+_xlfn.IFS(Table2[[#This Row],[Ventas]]&gt;200000,"Alta", Table2[[#This Row],[Ventas]]&gt;100000,"Media",TRUE,"Bajo")</f>
        <v>Media</v>
      </c>
    </row>
    <row r="716" spans="1:11" x14ac:dyDescent="0.25">
      <c r="A716" s="1" t="s">
        <v>98</v>
      </c>
      <c r="B716" s="1" t="s">
        <v>15</v>
      </c>
      <c r="C716" s="1" t="s">
        <v>92</v>
      </c>
      <c r="D716" s="1" t="s">
        <v>5</v>
      </c>
      <c r="E716" s="2">
        <v>42335.457638888889</v>
      </c>
      <c r="F716" s="1" t="s">
        <v>10</v>
      </c>
      <c r="G716" s="1">
        <v>147784</v>
      </c>
      <c r="H716" s="1">
        <v>16</v>
      </c>
      <c r="I716" s="1" t="s">
        <v>79</v>
      </c>
      <c r="J716" s="1">
        <f>+Table2[[#This Row],[Ventas]]/Table2[[#This Row],[Cantidad]]</f>
        <v>9236.5</v>
      </c>
      <c r="K716" s="1" t="str">
        <f>+_xlfn.IFS(Table2[[#This Row],[Ventas]]&gt;200000,"Alta", Table2[[#This Row],[Ventas]]&gt;100000,"Media",TRUE,"Bajo")</f>
        <v>Media</v>
      </c>
    </row>
    <row r="717" spans="1:11" x14ac:dyDescent="0.25">
      <c r="A717" s="1" t="s">
        <v>98</v>
      </c>
      <c r="B717" s="1" t="s">
        <v>74</v>
      </c>
      <c r="C717" s="1" t="s">
        <v>88</v>
      </c>
      <c r="D717" s="1" t="s">
        <v>9</v>
      </c>
      <c r="E717" s="2">
        <v>42310.457638888889</v>
      </c>
      <c r="F717" s="1" t="s">
        <v>10</v>
      </c>
      <c r="G717" s="1">
        <v>145360</v>
      </c>
      <c r="H717" s="1">
        <v>34</v>
      </c>
      <c r="I717" s="1" t="s">
        <v>79</v>
      </c>
      <c r="J717" s="1">
        <f>+Table2[[#This Row],[Ventas]]/Table2[[#This Row],[Cantidad]]</f>
        <v>4275.2941176470586</v>
      </c>
      <c r="K717" s="1" t="str">
        <f>+_xlfn.IFS(Table2[[#This Row],[Ventas]]&gt;200000,"Alta", Table2[[#This Row],[Ventas]]&gt;100000,"Media",TRUE,"Bajo")</f>
        <v>Media</v>
      </c>
    </row>
    <row r="718" spans="1:11" x14ac:dyDescent="0.25">
      <c r="A718" s="1" t="s">
        <v>98</v>
      </c>
      <c r="B718" s="1" t="s">
        <v>117</v>
      </c>
      <c r="C718" s="1" t="s">
        <v>86</v>
      </c>
      <c r="D718" s="1" t="s">
        <v>5</v>
      </c>
      <c r="E718" s="2">
        <v>42309.457638888889</v>
      </c>
      <c r="F718" s="1" t="s">
        <v>6</v>
      </c>
      <c r="G718" s="1">
        <v>62223</v>
      </c>
      <c r="H718" s="1">
        <v>24</v>
      </c>
      <c r="I718" s="1" t="s">
        <v>79</v>
      </c>
      <c r="J718" s="1">
        <f>+Table2[[#This Row],[Ventas]]/Table2[[#This Row],[Cantidad]]</f>
        <v>2592.625</v>
      </c>
      <c r="K718" s="1" t="str">
        <f>+_xlfn.IFS(Table2[[#This Row],[Ventas]]&gt;200000,"Alta", Table2[[#This Row],[Ventas]]&gt;100000,"Media",TRUE,"Bajo")</f>
        <v>Bajo</v>
      </c>
    </row>
    <row r="719" spans="1:11" x14ac:dyDescent="0.25">
      <c r="A719" s="1" t="s">
        <v>98</v>
      </c>
      <c r="B719" s="1" t="s">
        <v>15</v>
      </c>
      <c r="C719" s="1" t="s">
        <v>92</v>
      </c>
      <c r="D719" s="1" t="s">
        <v>5</v>
      </c>
      <c r="E719" s="2">
        <v>42335.457638888889</v>
      </c>
      <c r="F719" s="1" t="s">
        <v>10</v>
      </c>
      <c r="G719" s="1">
        <v>177809</v>
      </c>
      <c r="H719" s="1">
        <v>30</v>
      </c>
      <c r="I719" s="1" t="s">
        <v>79</v>
      </c>
      <c r="J719" s="1">
        <f>+Table2[[#This Row],[Ventas]]/Table2[[#This Row],[Cantidad]]</f>
        <v>5926.9666666666662</v>
      </c>
      <c r="K719" s="1" t="str">
        <f>+_xlfn.IFS(Table2[[#This Row],[Ventas]]&gt;200000,"Alta", Table2[[#This Row],[Ventas]]&gt;100000,"Media",TRUE,"Bajo")</f>
        <v>Media</v>
      </c>
    </row>
    <row r="720" spans="1:11" x14ac:dyDescent="0.25">
      <c r="A720" s="1" t="s">
        <v>98</v>
      </c>
      <c r="B720" s="1" t="s">
        <v>143</v>
      </c>
      <c r="C720" s="1" t="s">
        <v>92</v>
      </c>
      <c r="D720" s="1" t="s">
        <v>5</v>
      </c>
      <c r="E720" s="2">
        <v>42338.457638888889</v>
      </c>
      <c r="F720" s="1" t="s">
        <v>6</v>
      </c>
      <c r="G720" s="1">
        <v>78315</v>
      </c>
      <c r="H720" s="1">
        <v>21</v>
      </c>
      <c r="I720" s="1" t="s">
        <v>81</v>
      </c>
      <c r="J720" s="1">
        <f>+Table2[[#This Row],[Ventas]]/Table2[[#This Row],[Cantidad]]</f>
        <v>3729.2857142857142</v>
      </c>
      <c r="K720" s="1" t="str">
        <f>+_xlfn.IFS(Table2[[#This Row],[Ventas]]&gt;200000,"Alta", Table2[[#This Row],[Ventas]]&gt;100000,"Media",TRUE,"Bajo")</f>
        <v>Bajo</v>
      </c>
    </row>
    <row r="721" spans="1:11" x14ac:dyDescent="0.25">
      <c r="A721" s="1" t="s">
        <v>98</v>
      </c>
      <c r="B721" s="1" t="s">
        <v>117</v>
      </c>
      <c r="C721" s="1" t="s">
        <v>86</v>
      </c>
      <c r="D721" s="1" t="s">
        <v>5</v>
      </c>
      <c r="E721" s="2">
        <v>42309.457638888889</v>
      </c>
      <c r="F721" s="1" t="s">
        <v>6</v>
      </c>
      <c r="G721" s="1">
        <v>69046</v>
      </c>
      <c r="H721" s="1">
        <v>35</v>
      </c>
      <c r="I721" s="1" t="s">
        <v>82</v>
      </c>
      <c r="J721" s="1">
        <f>+Table2[[#This Row],[Ventas]]/Table2[[#This Row],[Cantidad]]</f>
        <v>1972.7428571428572</v>
      </c>
      <c r="K721" s="1" t="str">
        <f>+_xlfn.IFS(Table2[[#This Row],[Ventas]]&gt;200000,"Alta", Table2[[#This Row],[Ventas]]&gt;100000,"Media",TRUE,"Bajo")</f>
        <v>Bajo</v>
      </c>
    </row>
    <row r="722" spans="1:11" x14ac:dyDescent="0.25">
      <c r="A722" s="1" t="s">
        <v>98</v>
      </c>
      <c r="B722" s="1" t="s">
        <v>117</v>
      </c>
      <c r="C722" s="1" t="s">
        <v>86</v>
      </c>
      <c r="D722" s="1" t="s">
        <v>5</v>
      </c>
      <c r="E722" s="2">
        <v>42309.457638888889</v>
      </c>
      <c r="F722" s="1" t="s">
        <v>6</v>
      </c>
      <c r="G722" s="1">
        <v>163488</v>
      </c>
      <c r="H722" s="1">
        <v>40</v>
      </c>
      <c r="I722" s="1" t="s">
        <v>79</v>
      </c>
      <c r="J722" s="1">
        <f>+Table2[[#This Row],[Ventas]]/Table2[[#This Row],[Cantidad]]</f>
        <v>4087.2</v>
      </c>
      <c r="K722" s="1" t="str">
        <f>+_xlfn.IFS(Table2[[#This Row],[Ventas]]&gt;200000,"Alta", Table2[[#This Row],[Ventas]]&gt;100000,"Media",TRUE,"Bajo")</f>
        <v>Media</v>
      </c>
    </row>
    <row r="723" spans="1:11" x14ac:dyDescent="0.25">
      <c r="A723" s="1" t="s">
        <v>99</v>
      </c>
      <c r="B723" s="1" t="s">
        <v>117</v>
      </c>
      <c r="C723" s="1" t="s">
        <v>86</v>
      </c>
      <c r="D723" s="1" t="s">
        <v>5</v>
      </c>
      <c r="E723" s="2">
        <v>42309.457638888889</v>
      </c>
      <c r="F723" s="1" t="s">
        <v>6</v>
      </c>
      <c r="G723" s="1">
        <v>185348</v>
      </c>
      <c r="H723" s="1">
        <v>40</v>
      </c>
      <c r="I723" s="1" t="s">
        <v>79</v>
      </c>
      <c r="J723" s="1">
        <f>+Table2[[#This Row],[Ventas]]/Table2[[#This Row],[Cantidad]]</f>
        <v>4633.7</v>
      </c>
      <c r="K723" s="1" t="str">
        <f>+_xlfn.IFS(Table2[[#This Row],[Ventas]]&gt;200000,"Alta", Table2[[#This Row],[Ventas]]&gt;100000,"Media",TRUE,"Bajo")</f>
        <v>Media</v>
      </c>
    </row>
    <row r="724" spans="1:11" x14ac:dyDescent="0.25">
      <c r="A724" s="1" t="s">
        <v>99</v>
      </c>
      <c r="B724" s="1" t="s">
        <v>117</v>
      </c>
      <c r="C724" s="1" t="s">
        <v>86</v>
      </c>
      <c r="D724" s="1" t="s">
        <v>5</v>
      </c>
      <c r="E724" s="2">
        <v>42309.457638888889</v>
      </c>
      <c r="F724" s="1" t="s">
        <v>6</v>
      </c>
      <c r="G724" s="1">
        <v>117329</v>
      </c>
      <c r="H724" s="1">
        <v>19</v>
      </c>
      <c r="I724" s="1" t="s">
        <v>81</v>
      </c>
      <c r="J724" s="1">
        <f>+Table2[[#This Row],[Ventas]]/Table2[[#This Row],[Cantidad]]</f>
        <v>6175.2105263157891</v>
      </c>
      <c r="K724" s="1" t="str">
        <f>+_xlfn.IFS(Table2[[#This Row],[Ventas]]&gt;200000,"Alta", Table2[[#This Row],[Ventas]]&gt;100000,"Media",TRUE,"Bajo")</f>
        <v>Media</v>
      </c>
    </row>
    <row r="725" spans="1:11" x14ac:dyDescent="0.25">
      <c r="A725" s="1" t="s">
        <v>99</v>
      </c>
      <c r="B725" s="1" t="s">
        <v>131</v>
      </c>
      <c r="C725" s="1" t="s">
        <v>86</v>
      </c>
      <c r="D725" s="1" t="s">
        <v>9</v>
      </c>
      <c r="E725" s="2">
        <v>42338.457638888889</v>
      </c>
      <c r="F725" s="1" t="s">
        <v>6</v>
      </c>
      <c r="G725" s="1">
        <v>60050</v>
      </c>
      <c r="H725" s="1">
        <v>30</v>
      </c>
      <c r="I725" s="1" t="s">
        <v>80</v>
      </c>
      <c r="J725" s="1">
        <f>+Table2[[#This Row],[Ventas]]/Table2[[#This Row],[Cantidad]]</f>
        <v>2001.6666666666667</v>
      </c>
      <c r="K725" s="1" t="str">
        <f>+_xlfn.IFS(Table2[[#This Row],[Ventas]]&gt;200000,"Alta", Table2[[#This Row],[Ventas]]&gt;100000,"Media",TRUE,"Bajo")</f>
        <v>Bajo</v>
      </c>
    </row>
    <row r="726" spans="1:11" x14ac:dyDescent="0.25">
      <c r="A726" s="1" t="s">
        <v>99</v>
      </c>
      <c r="B726" s="1" t="s">
        <v>131</v>
      </c>
      <c r="C726" s="1" t="s">
        <v>86</v>
      </c>
      <c r="D726" s="1" t="s">
        <v>9</v>
      </c>
      <c r="E726" s="2">
        <v>42309.457638888889</v>
      </c>
      <c r="F726" s="1" t="s">
        <v>7</v>
      </c>
      <c r="G726" s="1">
        <v>92225</v>
      </c>
      <c r="H726" s="1">
        <v>42</v>
      </c>
      <c r="I726" s="1" t="s">
        <v>80</v>
      </c>
      <c r="J726" s="1">
        <f>+Table2[[#This Row],[Ventas]]/Table2[[#This Row],[Cantidad]]</f>
        <v>2195.8333333333335</v>
      </c>
      <c r="K726" s="1" t="str">
        <f>+_xlfn.IFS(Table2[[#This Row],[Ventas]]&gt;200000,"Alta", Table2[[#This Row],[Ventas]]&gt;100000,"Media",TRUE,"Bajo")</f>
        <v>Bajo</v>
      </c>
    </row>
    <row r="727" spans="1:11" x14ac:dyDescent="0.25">
      <c r="A727" s="1" t="s">
        <v>99</v>
      </c>
      <c r="B727" s="1" t="s">
        <v>24</v>
      </c>
      <c r="C727" s="1" t="s">
        <v>86</v>
      </c>
      <c r="D727" s="1" t="s">
        <v>5</v>
      </c>
      <c r="E727" s="2">
        <v>42338.457638888889</v>
      </c>
      <c r="F727" s="1" t="s">
        <v>6</v>
      </c>
      <c r="G727" s="1">
        <v>198207</v>
      </c>
      <c r="H727" s="1">
        <v>40</v>
      </c>
      <c r="I727" s="1" t="s">
        <v>82</v>
      </c>
      <c r="J727" s="1">
        <f>+Table2[[#This Row],[Ventas]]/Table2[[#This Row],[Cantidad]]</f>
        <v>4955.1750000000002</v>
      </c>
      <c r="K727" s="1" t="str">
        <f>+_xlfn.IFS(Table2[[#This Row],[Ventas]]&gt;200000,"Alta", Table2[[#This Row],[Ventas]]&gt;100000,"Media",TRUE,"Bajo")</f>
        <v>Media</v>
      </c>
    </row>
    <row r="728" spans="1:11" x14ac:dyDescent="0.25">
      <c r="A728" s="1" t="s">
        <v>99</v>
      </c>
      <c r="B728" s="1" t="s">
        <v>25</v>
      </c>
      <c r="C728" s="1" t="s">
        <v>86</v>
      </c>
      <c r="D728" s="1" t="s">
        <v>9</v>
      </c>
      <c r="E728" s="2">
        <v>42338.457638888889</v>
      </c>
      <c r="F728" s="1" t="s">
        <v>6</v>
      </c>
      <c r="G728" s="1">
        <v>198864</v>
      </c>
      <c r="H728" s="1">
        <v>30</v>
      </c>
      <c r="I728" s="1" t="s">
        <v>80</v>
      </c>
      <c r="J728" s="1">
        <f>+Table2[[#This Row],[Ventas]]/Table2[[#This Row],[Cantidad]]</f>
        <v>6628.8</v>
      </c>
      <c r="K728" s="1" t="str">
        <f>+_xlfn.IFS(Table2[[#This Row],[Ventas]]&gt;200000,"Alta", Table2[[#This Row],[Ventas]]&gt;100000,"Media",TRUE,"Bajo")</f>
        <v>Media</v>
      </c>
    </row>
    <row r="729" spans="1:11" x14ac:dyDescent="0.25">
      <c r="A729" s="1" t="s">
        <v>99</v>
      </c>
      <c r="B729" s="1" t="s">
        <v>117</v>
      </c>
      <c r="C729" s="1" t="s">
        <v>86</v>
      </c>
      <c r="D729" s="1" t="s">
        <v>5</v>
      </c>
      <c r="E729" s="2">
        <v>42309.457638888889</v>
      </c>
      <c r="F729" s="1" t="s">
        <v>6</v>
      </c>
      <c r="G729" s="1">
        <v>185665</v>
      </c>
      <c r="H729" s="1">
        <v>26</v>
      </c>
      <c r="I729" s="1" t="s">
        <v>79</v>
      </c>
      <c r="J729" s="1">
        <f>+Table2[[#This Row],[Ventas]]/Table2[[#This Row],[Cantidad]]</f>
        <v>7140.9615384615381</v>
      </c>
      <c r="K729" s="1" t="str">
        <f>+_xlfn.IFS(Table2[[#This Row],[Ventas]]&gt;200000,"Alta", Table2[[#This Row],[Ventas]]&gt;100000,"Media",TRUE,"Bajo")</f>
        <v>Media</v>
      </c>
    </row>
    <row r="730" spans="1:11" x14ac:dyDescent="0.25">
      <c r="A730" s="1" t="s">
        <v>99</v>
      </c>
      <c r="B730" s="1" t="s">
        <v>131</v>
      </c>
      <c r="C730" s="1" t="s">
        <v>86</v>
      </c>
      <c r="D730" s="1" t="s">
        <v>9</v>
      </c>
      <c r="E730" s="2">
        <v>42309.457638888889</v>
      </c>
      <c r="F730" s="1" t="s">
        <v>6</v>
      </c>
      <c r="G730" s="1">
        <v>58494</v>
      </c>
      <c r="H730" s="1">
        <v>41</v>
      </c>
      <c r="I730" s="1" t="s">
        <v>80</v>
      </c>
      <c r="J730" s="1">
        <f>+Table2[[#This Row],[Ventas]]/Table2[[#This Row],[Cantidad]]</f>
        <v>1426.6829268292684</v>
      </c>
      <c r="K730" s="1" t="str">
        <f>+_xlfn.IFS(Table2[[#This Row],[Ventas]]&gt;200000,"Alta", Table2[[#This Row],[Ventas]]&gt;100000,"Media",TRUE,"Bajo")</f>
        <v>Bajo</v>
      </c>
    </row>
    <row r="731" spans="1:11" x14ac:dyDescent="0.25">
      <c r="A731" s="1" t="s">
        <v>99</v>
      </c>
      <c r="B731" s="1" t="s">
        <v>131</v>
      </c>
      <c r="C731" s="1" t="s">
        <v>86</v>
      </c>
      <c r="D731" s="1" t="s">
        <v>9</v>
      </c>
      <c r="E731" s="2">
        <v>42309.457638888889</v>
      </c>
      <c r="F731" s="1" t="s">
        <v>7</v>
      </c>
      <c r="G731" s="1">
        <v>77687</v>
      </c>
      <c r="H731" s="1">
        <v>33</v>
      </c>
      <c r="I731" s="1" t="s">
        <v>81</v>
      </c>
      <c r="J731" s="1">
        <f>+Table2[[#This Row],[Ventas]]/Table2[[#This Row],[Cantidad]]</f>
        <v>2354.151515151515</v>
      </c>
      <c r="K731" s="1" t="str">
        <f>+_xlfn.IFS(Table2[[#This Row],[Ventas]]&gt;200000,"Alta", Table2[[#This Row],[Ventas]]&gt;100000,"Media",TRUE,"Bajo")</f>
        <v>Bajo</v>
      </c>
    </row>
    <row r="732" spans="1:11" x14ac:dyDescent="0.25">
      <c r="A732" s="1" t="s">
        <v>99</v>
      </c>
      <c r="B732" s="1" t="s">
        <v>124</v>
      </c>
      <c r="C732" s="1" t="s">
        <v>92</v>
      </c>
      <c r="D732" s="1" t="s">
        <v>5</v>
      </c>
      <c r="E732" s="2">
        <v>42335.457638888889</v>
      </c>
      <c r="F732" s="1" t="s">
        <v>6</v>
      </c>
      <c r="G732" s="1">
        <v>183572</v>
      </c>
      <c r="H732" s="1">
        <v>42</v>
      </c>
      <c r="I732" s="1" t="s">
        <v>79</v>
      </c>
      <c r="J732" s="1">
        <f>+Table2[[#This Row],[Ventas]]/Table2[[#This Row],[Cantidad]]</f>
        <v>4370.7619047619046</v>
      </c>
      <c r="K732" s="1" t="str">
        <f>+_xlfn.IFS(Table2[[#This Row],[Ventas]]&gt;200000,"Alta", Table2[[#This Row],[Ventas]]&gt;100000,"Media",TRUE,"Bajo")</f>
        <v>Media</v>
      </c>
    </row>
    <row r="733" spans="1:11" x14ac:dyDescent="0.25">
      <c r="A733" s="1" t="s">
        <v>99</v>
      </c>
      <c r="B733" s="1" t="s">
        <v>117</v>
      </c>
      <c r="C733" s="1" t="s">
        <v>86</v>
      </c>
      <c r="D733" s="1" t="s">
        <v>5</v>
      </c>
      <c r="E733" s="2">
        <v>42309.457638888889</v>
      </c>
      <c r="F733" s="1" t="s">
        <v>6</v>
      </c>
      <c r="G733" s="1">
        <v>192186</v>
      </c>
      <c r="H733" s="1">
        <v>40</v>
      </c>
      <c r="I733" s="1" t="s">
        <v>81</v>
      </c>
      <c r="J733" s="1">
        <f>+Table2[[#This Row],[Ventas]]/Table2[[#This Row],[Cantidad]]</f>
        <v>4804.6499999999996</v>
      </c>
      <c r="K733" s="1" t="str">
        <f>+_xlfn.IFS(Table2[[#This Row],[Ventas]]&gt;200000,"Alta", Table2[[#This Row],[Ventas]]&gt;100000,"Media",TRUE,"Bajo")</f>
        <v>Media</v>
      </c>
    </row>
    <row r="734" spans="1:11" x14ac:dyDescent="0.25">
      <c r="A734" s="1" t="s">
        <v>100</v>
      </c>
      <c r="B734" s="1" t="s">
        <v>131</v>
      </c>
      <c r="C734" s="1" t="s">
        <v>86</v>
      </c>
      <c r="D734" s="1" t="s">
        <v>9</v>
      </c>
      <c r="E734" s="2">
        <v>42309.457638888889</v>
      </c>
      <c r="F734" s="1" t="s">
        <v>7</v>
      </c>
      <c r="G734" s="1">
        <v>169065</v>
      </c>
      <c r="H734" s="1">
        <v>19</v>
      </c>
      <c r="I734" s="1" t="s">
        <v>79</v>
      </c>
      <c r="J734" s="1">
        <f>+Table2[[#This Row],[Ventas]]/Table2[[#This Row],[Cantidad]]</f>
        <v>8898.1578947368416</v>
      </c>
      <c r="K734" s="1" t="str">
        <f>+_xlfn.IFS(Table2[[#This Row],[Ventas]]&gt;200000,"Alta", Table2[[#This Row],[Ventas]]&gt;100000,"Media",TRUE,"Bajo")</f>
        <v>Media</v>
      </c>
    </row>
    <row r="735" spans="1:11" x14ac:dyDescent="0.25">
      <c r="A735" s="1" t="s">
        <v>100</v>
      </c>
      <c r="B735" s="1" t="s">
        <v>117</v>
      </c>
      <c r="C735" s="1" t="s">
        <v>86</v>
      </c>
      <c r="D735" s="1" t="s">
        <v>5</v>
      </c>
      <c r="E735" s="2">
        <v>42309.457638888889</v>
      </c>
      <c r="F735" s="1" t="s">
        <v>6</v>
      </c>
      <c r="G735" s="1">
        <v>106154</v>
      </c>
      <c r="H735" s="1">
        <v>42</v>
      </c>
      <c r="I735" s="1" t="s">
        <v>79</v>
      </c>
      <c r="J735" s="1">
        <f>+Table2[[#This Row],[Ventas]]/Table2[[#This Row],[Cantidad]]</f>
        <v>2527.4761904761904</v>
      </c>
      <c r="K735" s="1" t="str">
        <f>+_xlfn.IFS(Table2[[#This Row],[Ventas]]&gt;200000,"Alta", Table2[[#This Row],[Ventas]]&gt;100000,"Media",TRUE,"Bajo")</f>
        <v>Media</v>
      </c>
    </row>
    <row r="736" spans="1:11" x14ac:dyDescent="0.25">
      <c r="A736" s="1" t="s">
        <v>100</v>
      </c>
      <c r="B736" s="1" t="s">
        <v>15</v>
      </c>
      <c r="C736" s="1" t="s">
        <v>92</v>
      </c>
      <c r="D736" s="1" t="s">
        <v>5</v>
      </c>
      <c r="E736" s="2">
        <v>42335.457638888889</v>
      </c>
      <c r="F736" s="1" t="s">
        <v>10</v>
      </c>
      <c r="G736" s="1">
        <v>99706</v>
      </c>
      <c r="H736" s="1">
        <v>26</v>
      </c>
      <c r="I736" s="1" t="s">
        <v>79</v>
      </c>
      <c r="J736" s="1">
        <f>+Table2[[#This Row],[Ventas]]/Table2[[#This Row],[Cantidad]]</f>
        <v>3834.8461538461538</v>
      </c>
      <c r="K736" s="1" t="str">
        <f>+_xlfn.IFS(Table2[[#This Row],[Ventas]]&gt;200000,"Alta", Table2[[#This Row],[Ventas]]&gt;100000,"Media",TRUE,"Bajo")</f>
        <v>Bajo</v>
      </c>
    </row>
    <row r="737" spans="1:11" x14ac:dyDescent="0.25">
      <c r="A737" s="1" t="s">
        <v>100</v>
      </c>
      <c r="B737" s="1" t="s">
        <v>133</v>
      </c>
      <c r="C737" s="1" t="s">
        <v>86</v>
      </c>
      <c r="D737" s="1" t="s">
        <v>5</v>
      </c>
      <c r="E737" s="2">
        <v>42338.457638888889</v>
      </c>
      <c r="F737" s="1" t="s">
        <v>6</v>
      </c>
      <c r="G737" s="1">
        <v>228631</v>
      </c>
      <c r="H737" s="1">
        <v>15</v>
      </c>
      <c r="I737" s="1" t="s">
        <v>81</v>
      </c>
      <c r="J737" s="1">
        <f>+Table2[[#This Row],[Ventas]]/Table2[[#This Row],[Cantidad]]</f>
        <v>15242.066666666668</v>
      </c>
      <c r="K737" s="1" t="str">
        <f>+_xlfn.IFS(Table2[[#This Row],[Ventas]]&gt;200000,"Alta", Table2[[#This Row],[Ventas]]&gt;100000,"Media",TRUE,"Bajo")</f>
        <v>Alta</v>
      </c>
    </row>
    <row r="738" spans="1:11" x14ac:dyDescent="0.25">
      <c r="A738" s="1" t="s">
        <v>101</v>
      </c>
      <c r="B738" s="1" t="s">
        <v>125</v>
      </c>
      <c r="C738" s="1" t="s">
        <v>86</v>
      </c>
      <c r="D738" s="1" t="s">
        <v>9</v>
      </c>
      <c r="E738" s="2">
        <v>42335.457638888889</v>
      </c>
      <c r="F738" s="1" t="s">
        <v>6</v>
      </c>
      <c r="G738" s="1">
        <v>57810</v>
      </c>
      <c r="H738" s="1">
        <v>30</v>
      </c>
      <c r="I738" s="1" t="s">
        <v>80</v>
      </c>
      <c r="J738" s="1">
        <f>+Table2[[#This Row],[Ventas]]/Table2[[#This Row],[Cantidad]]</f>
        <v>1927</v>
      </c>
      <c r="K738" s="1" t="str">
        <f>+_xlfn.IFS(Table2[[#This Row],[Ventas]]&gt;200000,"Alta", Table2[[#This Row],[Ventas]]&gt;100000,"Media",TRUE,"Bajo")</f>
        <v>Bajo</v>
      </c>
    </row>
    <row r="739" spans="1:11" x14ac:dyDescent="0.25">
      <c r="A739" s="1" t="s">
        <v>101</v>
      </c>
      <c r="B739" s="1" t="s">
        <v>26</v>
      </c>
      <c r="C739" s="1" t="s">
        <v>89</v>
      </c>
      <c r="D739" s="1" t="s">
        <v>9</v>
      </c>
      <c r="E739" s="2">
        <v>42333.457638888889</v>
      </c>
      <c r="F739" s="1" t="s">
        <v>6</v>
      </c>
      <c r="G739" s="1">
        <v>161757</v>
      </c>
      <c r="H739" s="1">
        <v>34</v>
      </c>
      <c r="I739" s="1" t="s">
        <v>80</v>
      </c>
      <c r="J739" s="1">
        <f>+Table2[[#This Row],[Ventas]]/Table2[[#This Row],[Cantidad]]</f>
        <v>4757.5588235294117</v>
      </c>
      <c r="K739" s="1" t="str">
        <f>+_xlfn.IFS(Table2[[#This Row],[Ventas]]&gt;200000,"Alta", Table2[[#This Row],[Ventas]]&gt;100000,"Media",TRUE,"Bajo")</f>
        <v>Media</v>
      </c>
    </row>
    <row r="740" spans="1:11" x14ac:dyDescent="0.25">
      <c r="A740" s="1" t="s">
        <v>101</v>
      </c>
      <c r="B740" s="1" t="s">
        <v>24</v>
      </c>
      <c r="C740" s="1" t="s">
        <v>92</v>
      </c>
      <c r="D740" s="1" t="s">
        <v>5</v>
      </c>
      <c r="E740" s="2">
        <v>42338.457638888889</v>
      </c>
      <c r="F740" s="1" t="s">
        <v>6</v>
      </c>
      <c r="G740" s="1">
        <v>234845</v>
      </c>
      <c r="H740" s="1">
        <v>24</v>
      </c>
      <c r="I740" s="1" t="s">
        <v>79</v>
      </c>
      <c r="J740" s="1">
        <f>+Table2[[#This Row],[Ventas]]/Table2[[#This Row],[Cantidad]]</f>
        <v>9785.2083333333339</v>
      </c>
      <c r="K740" s="1" t="str">
        <f>+_xlfn.IFS(Table2[[#This Row],[Ventas]]&gt;200000,"Alta", Table2[[#This Row],[Ventas]]&gt;100000,"Media",TRUE,"Bajo")</f>
        <v>Alta</v>
      </c>
    </row>
    <row r="741" spans="1:11" x14ac:dyDescent="0.25">
      <c r="A741" s="1" t="s">
        <v>102</v>
      </c>
      <c r="B741" s="1" t="s">
        <v>24</v>
      </c>
      <c r="C741" s="1" t="s">
        <v>86</v>
      </c>
      <c r="D741" s="1" t="s">
        <v>5</v>
      </c>
      <c r="E741" s="2">
        <v>42338.457638888889</v>
      </c>
      <c r="F741" s="1" t="s">
        <v>6</v>
      </c>
      <c r="G741" s="1">
        <v>73039</v>
      </c>
      <c r="H741" s="1">
        <v>34</v>
      </c>
      <c r="I741" s="1" t="s">
        <v>81</v>
      </c>
      <c r="J741" s="1">
        <f>+Table2[[#This Row],[Ventas]]/Table2[[#This Row],[Cantidad]]</f>
        <v>2148.205882352941</v>
      </c>
      <c r="K741" s="1" t="str">
        <f>+_xlfn.IFS(Table2[[#This Row],[Ventas]]&gt;200000,"Alta", Table2[[#This Row],[Ventas]]&gt;100000,"Media",TRUE,"Bajo")</f>
        <v>Bajo</v>
      </c>
    </row>
    <row r="742" spans="1:11" x14ac:dyDescent="0.25">
      <c r="A742" s="1" t="s">
        <v>102</v>
      </c>
      <c r="B742" s="1" t="s">
        <v>131</v>
      </c>
      <c r="C742" s="1" t="s">
        <v>86</v>
      </c>
      <c r="D742" s="1" t="s">
        <v>9</v>
      </c>
      <c r="E742" s="2">
        <v>42334.457638888889</v>
      </c>
      <c r="F742" s="1" t="s">
        <v>7</v>
      </c>
      <c r="G742" s="1">
        <v>70112</v>
      </c>
      <c r="H742" s="1">
        <v>22</v>
      </c>
      <c r="I742" s="1" t="s">
        <v>81</v>
      </c>
      <c r="J742" s="1">
        <f>+Table2[[#This Row],[Ventas]]/Table2[[#This Row],[Cantidad]]</f>
        <v>3186.909090909091</v>
      </c>
      <c r="K742" s="1" t="str">
        <f>+_xlfn.IFS(Table2[[#This Row],[Ventas]]&gt;200000,"Alta", Table2[[#This Row],[Ventas]]&gt;100000,"Media",TRUE,"Bajo")</f>
        <v>Bajo</v>
      </c>
    </row>
    <row r="743" spans="1:11" x14ac:dyDescent="0.25">
      <c r="A743" s="1" t="s">
        <v>102</v>
      </c>
      <c r="B743" s="1" t="s">
        <v>117</v>
      </c>
      <c r="C743" s="1" t="s">
        <v>86</v>
      </c>
      <c r="D743" s="1" t="s">
        <v>5</v>
      </c>
      <c r="E743" s="2">
        <v>42309.457638888889</v>
      </c>
      <c r="F743" s="1" t="s">
        <v>6</v>
      </c>
      <c r="G743" s="1">
        <v>123591</v>
      </c>
      <c r="H743" s="1">
        <v>36</v>
      </c>
      <c r="I743" s="1" t="s">
        <v>81</v>
      </c>
      <c r="J743" s="1">
        <f>+Table2[[#This Row],[Ventas]]/Table2[[#This Row],[Cantidad]]</f>
        <v>3433.0833333333335</v>
      </c>
      <c r="K743" s="1" t="str">
        <f>+_xlfn.IFS(Table2[[#This Row],[Ventas]]&gt;200000,"Alta", Table2[[#This Row],[Ventas]]&gt;100000,"Media",TRUE,"Bajo")</f>
        <v>Media</v>
      </c>
    </row>
    <row r="744" spans="1:11" x14ac:dyDescent="0.25">
      <c r="A744" s="1" t="s">
        <v>102</v>
      </c>
      <c r="B744" s="1" t="s">
        <v>24</v>
      </c>
      <c r="C744" s="1" t="s">
        <v>86</v>
      </c>
      <c r="D744" s="1" t="s">
        <v>5</v>
      </c>
      <c r="E744" s="2">
        <v>42338.457638888889</v>
      </c>
      <c r="F744" s="1" t="s">
        <v>6</v>
      </c>
      <c r="G744" s="1">
        <v>51345</v>
      </c>
      <c r="H744" s="1">
        <v>16</v>
      </c>
      <c r="I744" s="1" t="s">
        <v>82</v>
      </c>
      <c r="J744" s="1">
        <f>+Table2[[#This Row],[Ventas]]/Table2[[#This Row],[Cantidad]]</f>
        <v>3209.0625</v>
      </c>
      <c r="K744" s="1" t="str">
        <f>+_xlfn.IFS(Table2[[#This Row],[Ventas]]&gt;200000,"Alta", Table2[[#This Row],[Ventas]]&gt;100000,"Media",TRUE,"Bajo")</f>
        <v>Bajo</v>
      </c>
    </row>
    <row r="745" spans="1:11" x14ac:dyDescent="0.25">
      <c r="A745" s="1" t="s">
        <v>102</v>
      </c>
      <c r="B745" s="1" t="s">
        <v>74</v>
      </c>
      <c r="C745" s="1" t="s">
        <v>88</v>
      </c>
      <c r="D745" s="1" t="s">
        <v>9</v>
      </c>
      <c r="E745" s="2">
        <v>42310.457638888889</v>
      </c>
      <c r="F745" s="1" t="s">
        <v>10</v>
      </c>
      <c r="G745" s="1">
        <v>245032</v>
      </c>
      <c r="H745" s="1">
        <v>30</v>
      </c>
      <c r="I745" s="1" t="s">
        <v>79</v>
      </c>
      <c r="J745" s="1">
        <f>+Table2[[#This Row],[Ventas]]/Table2[[#This Row],[Cantidad]]</f>
        <v>8167.7333333333336</v>
      </c>
      <c r="K745" s="1" t="str">
        <f>+_xlfn.IFS(Table2[[#This Row],[Ventas]]&gt;200000,"Alta", Table2[[#This Row],[Ventas]]&gt;100000,"Media",TRUE,"Bajo")</f>
        <v>Alta</v>
      </c>
    </row>
    <row r="746" spans="1:11" x14ac:dyDescent="0.25">
      <c r="A746" s="1" t="s">
        <v>96</v>
      </c>
      <c r="B746" s="1" t="s">
        <v>59</v>
      </c>
      <c r="C746" s="1" t="s">
        <v>91</v>
      </c>
      <c r="D746" s="1" t="s">
        <v>9</v>
      </c>
      <c r="E746" s="2">
        <v>42307.457638888889</v>
      </c>
      <c r="F746" s="1" t="s">
        <v>10</v>
      </c>
      <c r="G746" s="1">
        <v>196892</v>
      </c>
      <c r="H746" s="1">
        <v>16</v>
      </c>
      <c r="I746" s="1" t="s">
        <v>81</v>
      </c>
      <c r="J746" s="1">
        <f>+Table2[[#This Row],[Ventas]]/Table2[[#This Row],[Cantidad]]</f>
        <v>12305.75</v>
      </c>
      <c r="K746" s="1" t="str">
        <f>+_xlfn.IFS(Table2[[#This Row],[Ventas]]&gt;200000,"Alta", Table2[[#This Row],[Ventas]]&gt;100000,"Media",TRUE,"Bajo")</f>
        <v>Media</v>
      </c>
    </row>
    <row r="747" spans="1:11" x14ac:dyDescent="0.25">
      <c r="A747" s="1" t="s">
        <v>96</v>
      </c>
      <c r="B747" s="1" t="s">
        <v>59</v>
      </c>
      <c r="C747" s="1" t="s">
        <v>91</v>
      </c>
      <c r="D747" s="1" t="s">
        <v>9</v>
      </c>
      <c r="E747" s="2">
        <v>42307.457638888889</v>
      </c>
      <c r="F747" s="1" t="s">
        <v>10</v>
      </c>
      <c r="G747" s="1">
        <v>101165</v>
      </c>
      <c r="H747" s="1">
        <v>26</v>
      </c>
      <c r="I747" s="1" t="s">
        <v>79</v>
      </c>
      <c r="J747" s="1">
        <f>+Table2[[#This Row],[Ventas]]/Table2[[#This Row],[Cantidad]]</f>
        <v>3890.9615384615386</v>
      </c>
      <c r="K747" s="1" t="str">
        <f>+_xlfn.IFS(Table2[[#This Row],[Ventas]]&gt;200000,"Alta", Table2[[#This Row],[Ventas]]&gt;100000,"Media",TRUE,"Bajo")</f>
        <v>Media</v>
      </c>
    </row>
    <row r="748" spans="1:11" x14ac:dyDescent="0.25">
      <c r="A748" s="1" t="s">
        <v>97</v>
      </c>
      <c r="B748" s="1" t="s">
        <v>15</v>
      </c>
      <c r="C748" s="1" t="s">
        <v>92</v>
      </c>
      <c r="D748" s="1" t="s">
        <v>5</v>
      </c>
      <c r="E748" s="2">
        <v>42300.457638888889</v>
      </c>
      <c r="F748" s="1" t="s">
        <v>6</v>
      </c>
      <c r="G748" s="1">
        <v>137994</v>
      </c>
      <c r="H748" s="1">
        <v>18</v>
      </c>
      <c r="I748" s="1" t="s">
        <v>81</v>
      </c>
      <c r="J748" s="1">
        <f>+Table2[[#This Row],[Ventas]]/Table2[[#This Row],[Cantidad]]</f>
        <v>7666.333333333333</v>
      </c>
      <c r="K748" s="1" t="str">
        <f>+_xlfn.IFS(Table2[[#This Row],[Ventas]]&gt;200000,"Alta", Table2[[#This Row],[Ventas]]&gt;100000,"Media",TRUE,"Bajo")</f>
        <v>Media</v>
      </c>
    </row>
    <row r="749" spans="1:11" x14ac:dyDescent="0.25">
      <c r="A749" s="1" t="s">
        <v>97</v>
      </c>
      <c r="B749" s="1" t="s">
        <v>27</v>
      </c>
      <c r="C749" s="1" t="s">
        <v>86</v>
      </c>
      <c r="D749" s="1" t="s">
        <v>9</v>
      </c>
      <c r="E749" s="2">
        <v>42303.457638888889</v>
      </c>
      <c r="F749" s="1" t="s">
        <v>12</v>
      </c>
      <c r="G749" s="1">
        <v>155581</v>
      </c>
      <c r="H749" s="1">
        <v>26</v>
      </c>
      <c r="I749" s="1" t="s">
        <v>79</v>
      </c>
      <c r="J749" s="1">
        <f>+Table2[[#This Row],[Ventas]]/Table2[[#This Row],[Cantidad]]</f>
        <v>5983.8846153846152</v>
      </c>
      <c r="K749" s="1" t="str">
        <f>+_xlfn.IFS(Table2[[#This Row],[Ventas]]&gt;200000,"Alta", Table2[[#This Row],[Ventas]]&gt;100000,"Media",TRUE,"Bajo")</f>
        <v>Media</v>
      </c>
    </row>
    <row r="750" spans="1:11" x14ac:dyDescent="0.25">
      <c r="A750" s="1" t="s">
        <v>97</v>
      </c>
      <c r="B750" s="1" t="s">
        <v>147</v>
      </c>
      <c r="C750" s="1" t="s">
        <v>89</v>
      </c>
      <c r="D750" s="1" t="s">
        <v>9</v>
      </c>
      <c r="E750" s="2">
        <v>42278.457638888889</v>
      </c>
      <c r="F750" s="1" t="s">
        <v>6</v>
      </c>
      <c r="G750" s="1">
        <v>75064</v>
      </c>
      <c r="H750" s="1">
        <v>29</v>
      </c>
      <c r="I750" s="1" t="s">
        <v>79</v>
      </c>
      <c r="J750" s="1">
        <f>+Table2[[#This Row],[Ventas]]/Table2[[#This Row],[Cantidad]]</f>
        <v>2588.4137931034484</v>
      </c>
      <c r="K750" s="1" t="str">
        <f>+_xlfn.IFS(Table2[[#This Row],[Ventas]]&gt;200000,"Alta", Table2[[#This Row],[Ventas]]&gt;100000,"Media",TRUE,"Bajo")</f>
        <v>Bajo</v>
      </c>
    </row>
    <row r="751" spans="1:11" x14ac:dyDescent="0.25">
      <c r="A751" s="1" t="s">
        <v>97</v>
      </c>
      <c r="B751" s="1" t="s">
        <v>30</v>
      </c>
      <c r="C751" s="1" t="s">
        <v>86</v>
      </c>
      <c r="D751" s="1" t="s">
        <v>9</v>
      </c>
      <c r="E751" s="2">
        <v>42308.457638888889</v>
      </c>
      <c r="F751" s="1" t="s">
        <v>6</v>
      </c>
      <c r="G751" s="1">
        <v>57247</v>
      </c>
      <c r="H751" s="1">
        <v>23</v>
      </c>
      <c r="I751" s="1" t="s">
        <v>81</v>
      </c>
      <c r="J751" s="1">
        <f>+Table2[[#This Row],[Ventas]]/Table2[[#This Row],[Cantidad]]</f>
        <v>2489</v>
      </c>
      <c r="K751" s="1" t="str">
        <f>+_xlfn.IFS(Table2[[#This Row],[Ventas]]&gt;200000,"Alta", Table2[[#This Row],[Ventas]]&gt;100000,"Media",TRUE,"Bajo")</f>
        <v>Bajo</v>
      </c>
    </row>
    <row r="752" spans="1:11" x14ac:dyDescent="0.25">
      <c r="A752" s="1" t="s">
        <v>97</v>
      </c>
      <c r="B752" s="1" t="s">
        <v>59</v>
      </c>
      <c r="C752" s="1" t="s">
        <v>91</v>
      </c>
      <c r="D752" s="1" t="s">
        <v>9</v>
      </c>
      <c r="E752" s="2">
        <v>42307.457638888889</v>
      </c>
      <c r="F752" s="1" t="s">
        <v>10</v>
      </c>
      <c r="G752" s="1">
        <v>203539</v>
      </c>
      <c r="H752" s="1">
        <v>39</v>
      </c>
      <c r="I752" s="1" t="s">
        <v>79</v>
      </c>
      <c r="J752" s="1">
        <f>+Table2[[#This Row],[Ventas]]/Table2[[#This Row],[Cantidad]]</f>
        <v>5218.9487179487178</v>
      </c>
      <c r="K752" s="1" t="str">
        <f>+_xlfn.IFS(Table2[[#This Row],[Ventas]]&gt;200000,"Alta", Table2[[#This Row],[Ventas]]&gt;100000,"Media",TRUE,"Bajo")</f>
        <v>Alta</v>
      </c>
    </row>
    <row r="753" spans="1:11" x14ac:dyDescent="0.25">
      <c r="A753" s="1" t="s">
        <v>97</v>
      </c>
      <c r="B753" s="1" t="s">
        <v>114</v>
      </c>
      <c r="C753" s="1" t="s">
        <v>92</v>
      </c>
      <c r="D753" s="1" t="s">
        <v>5</v>
      </c>
      <c r="E753" s="2">
        <v>42306.457638888889</v>
      </c>
      <c r="F753" s="1" t="s">
        <v>6</v>
      </c>
      <c r="G753" s="1">
        <v>100741</v>
      </c>
      <c r="H753" s="1">
        <v>26</v>
      </c>
      <c r="I753" s="1" t="s">
        <v>79</v>
      </c>
      <c r="J753" s="1">
        <f>+Table2[[#This Row],[Ventas]]/Table2[[#This Row],[Cantidad]]</f>
        <v>3874.6538461538462</v>
      </c>
      <c r="K753" s="1" t="str">
        <f>+_xlfn.IFS(Table2[[#This Row],[Ventas]]&gt;200000,"Alta", Table2[[#This Row],[Ventas]]&gt;100000,"Media",TRUE,"Bajo")</f>
        <v>Media</v>
      </c>
    </row>
    <row r="754" spans="1:11" x14ac:dyDescent="0.25">
      <c r="A754" s="1" t="s">
        <v>97</v>
      </c>
      <c r="B754" s="1" t="s">
        <v>76</v>
      </c>
      <c r="C754" s="1" t="s">
        <v>88</v>
      </c>
      <c r="D754" s="1" t="s">
        <v>9</v>
      </c>
      <c r="E754" s="2">
        <v>42307.457638888889</v>
      </c>
      <c r="F754" s="1" t="s">
        <v>7</v>
      </c>
      <c r="G754" s="1">
        <v>150801</v>
      </c>
      <c r="H754" s="1">
        <v>15</v>
      </c>
      <c r="I754" s="1" t="s">
        <v>80</v>
      </c>
      <c r="J754" s="1">
        <f>+Table2[[#This Row],[Ventas]]/Table2[[#This Row],[Cantidad]]</f>
        <v>10053.4</v>
      </c>
      <c r="K754" s="1" t="str">
        <f>+_xlfn.IFS(Table2[[#This Row],[Ventas]]&gt;200000,"Alta", Table2[[#This Row],[Ventas]]&gt;100000,"Media",TRUE,"Bajo")</f>
        <v>Media</v>
      </c>
    </row>
    <row r="755" spans="1:11" x14ac:dyDescent="0.25">
      <c r="A755" s="1" t="s">
        <v>97</v>
      </c>
      <c r="B755" s="1" t="s">
        <v>106</v>
      </c>
      <c r="C755" s="1" t="s">
        <v>86</v>
      </c>
      <c r="D755" s="1" t="s">
        <v>9</v>
      </c>
      <c r="E755" s="2">
        <v>42291.457638888889</v>
      </c>
      <c r="F755" s="1" t="s">
        <v>6</v>
      </c>
      <c r="G755" s="1">
        <v>85371</v>
      </c>
      <c r="H755" s="1">
        <v>29</v>
      </c>
      <c r="I755" s="1" t="s">
        <v>80</v>
      </c>
      <c r="J755" s="1">
        <f>+Table2[[#This Row],[Ventas]]/Table2[[#This Row],[Cantidad]]</f>
        <v>2943.8275862068967</v>
      </c>
      <c r="K755" s="1" t="str">
        <f>+_xlfn.IFS(Table2[[#This Row],[Ventas]]&gt;200000,"Alta", Table2[[#This Row],[Ventas]]&gt;100000,"Media",TRUE,"Bajo")</f>
        <v>Bajo</v>
      </c>
    </row>
    <row r="756" spans="1:11" x14ac:dyDescent="0.25">
      <c r="A756" s="1" t="s">
        <v>98</v>
      </c>
      <c r="B756" s="1" t="s">
        <v>121</v>
      </c>
      <c r="C756" s="1" t="s">
        <v>87</v>
      </c>
      <c r="D756" s="1" t="s">
        <v>9</v>
      </c>
      <c r="E756" s="2">
        <v>42292.457638888889</v>
      </c>
      <c r="F756" s="1" t="s">
        <v>7</v>
      </c>
      <c r="G756" s="1">
        <v>155728</v>
      </c>
      <c r="H756" s="1">
        <v>21</v>
      </c>
      <c r="I756" s="1" t="s">
        <v>80</v>
      </c>
      <c r="J756" s="1">
        <f>+Table2[[#This Row],[Ventas]]/Table2[[#This Row],[Cantidad]]</f>
        <v>7415.6190476190477</v>
      </c>
      <c r="K756" s="1" t="str">
        <f>+_xlfn.IFS(Table2[[#This Row],[Ventas]]&gt;200000,"Alta", Table2[[#This Row],[Ventas]]&gt;100000,"Media",TRUE,"Bajo")</f>
        <v>Media</v>
      </c>
    </row>
    <row r="757" spans="1:11" x14ac:dyDescent="0.25">
      <c r="A757" s="1" t="s">
        <v>98</v>
      </c>
      <c r="B757" s="1" t="s">
        <v>114</v>
      </c>
      <c r="C757" s="1" t="s">
        <v>92</v>
      </c>
      <c r="D757" s="1" t="s">
        <v>5</v>
      </c>
      <c r="E757" s="2">
        <v>42306.457638888889</v>
      </c>
      <c r="F757" s="1" t="s">
        <v>6</v>
      </c>
      <c r="G757" s="1">
        <v>180268</v>
      </c>
      <c r="H757" s="1">
        <v>39</v>
      </c>
      <c r="I757" s="1" t="s">
        <v>81</v>
      </c>
      <c r="J757" s="1">
        <f>+Table2[[#This Row],[Ventas]]/Table2[[#This Row],[Cantidad]]</f>
        <v>4622.2564102564102</v>
      </c>
      <c r="K757" s="1" t="str">
        <f>+_xlfn.IFS(Table2[[#This Row],[Ventas]]&gt;200000,"Alta", Table2[[#This Row],[Ventas]]&gt;100000,"Media",TRUE,"Bajo")</f>
        <v>Media</v>
      </c>
    </row>
    <row r="758" spans="1:11" x14ac:dyDescent="0.25">
      <c r="A758" s="1" t="s">
        <v>98</v>
      </c>
      <c r="B758" s="1" t="s">
        <v>124</v>
      </c>
      <c r="C758" s="1" t="s">
        <v>92</v>
      </c>
      <c r="D758" s="1" t="s">
        <v>5</v>
      </c>
      <c r="E758" s="2">
        <v>42307.457638888889</v>
      </c>
      <c r="F758" s="1" t="s">
        <v>7</v>
      </c>
      <c r="G758" s="1">
        <v>137070</v>
      </c>
      <c r="H758" s="1">
        <v>20</v>
      </c>
      <c r="I758" s="1" t="s">
        <v>79</v>
      </c>
      <c r="J758" s="1">
        <f>+Table2[[#This Row],[Ventas]]/Table2[[#This Row],[Cantidad]]</f>
        <v>6853.5</v>
      </c>
      <c r="K758" s="1" t="str">
        <f>+_xlfn.IFS(Table2[[#This Row],[Ventas]]&gt;200000,"Alta", Table2[[#This Row],[Ventas]]&gt;100000,"Media",TRUE,"Bajo")</f>
        <v>Media</v>
      </c>
    </row>
    <row r="759" spans="1:11" x14ac:dyDescent="0.25">
      <c r="A759" s="1" t="s">
        <v>98</v>
      </c>
      <c r="B759" s="1" t="s">
        <v>147</v>
      </c>
      <c r="C759" s="1" t="s">
        <v>89</v>
      </c>
      <c r="D759" s="1" t="s">
        <v>9</v>
      </c>
      <c r="E759" s="2">
        <v>42278.457638888889</v>
      </c>
      <c r="F759" s="1" t="s">
        <v>6</v>
      </c>
      <c r="G759" s="1">
        <v>190459</v>
      </c>
      <c r="H759" s="1">
        <v>34</v>
      </c>
      <c r="I759" s="1" t="s">
        <v>79</v>
      </c>
      <c r="J759" s="1">
        <f>+Table2[[#This Row],[Ventas]]/Table2[[#This Row],[Cantidad]]</f>
        <v>5601.7352941176468</v>
      </c>
      <c r="K759" s="1" t="str">
        <f>+_xlfn.IFS(Table2[[#This Row],[Ventas]]&gt;200000,"Alta", Table2[[#This Row],[Ventas]]&gt;100000,"Media",TRUE,"Bajo")</f>
        <v>Media</v>
      </c>
    </row>
    <row r="760" spans="1:11" x14ac:dyDescent="0.25">
      <c r="A760" s="1" t="s">
        <v>98</v>
      </c>
      <c r="B760" s="1" t="s">
        <v>59</v>
      </c>
      <c r="C760" s="1" t="s">
        <v>91</v>
      </c>
      <c r="D760" s="1" t="s">
        <v>9</v>
      </c>
      <c r="E760" s="2">
        <v>42307.457638888889</v>
      </c>
      <c r="F760" s="1" t="s">
        <v>10</v>
      </c>
      <c r="G760" s="1">
        <v>187861</v>
      </c>
      <c r="H760" s="1">
        <v>42</v>
      </c>
      <c r="I760" s="1" t="s">
        <v>81</v>
      </c>
      <c r="J760" s="1">
        <f>+Table2[[#This Row],[Ventas]]/Table2[[#This Row],[Cantidad]]</f>
        <v>4472.8809523809523</v>
      </c>
      <c r="K760" s="1" t="str">
        <f>+_xlfn.IFS(Table2[[#This Row],[Ventas]]&gt;200000,"Alta", Table2[[#This Row],[Ventas]]&gt;100000,"Media",TRUE,"Bajo")</f>
        <v>Media</v>
      </c>
    </row>
    <row r="761" spans="1:11" x14ac:dyDescent="0.25">
      <c r="A761" s="1" t="s">
        <v>98</v>
      </c>
      <c r="B761" s="1" t="s">
        <v>59</v>
      </c>
      <c r="C761" s="1" t="s">
        <v>91</v>
      </c>
      <c r="D761" s="1" t="s">
        <v>9</v>
      </c>
      <c r="E761" s="2">
        <v>42307.457638888889</v>
      </c>
      <c r="F761" s="1" t="s">
        <v>10</v>
      </c>
      <c r="G761" s="1">
        <v>115051</v>
      </c>
      <c r="H761" s="1">
        <v>17</v>
      </c>
      <c r="I761" s="1" t="s">
        <v>80</v>
      </c>
      <c r="J761" s="1">
        <f>+Table2[[#This Row],[Ventas]]/Table2[[#This Row],[Cantidad]]</f>
        <v>6767.7058823529414</v>
      </c>
      <c r="K761" s="1" t="str">
        <f>+_xlfn.IFS(Table2[[#This Row],[Ventas]]&gt;200000,"Alta", Table2[[#This Row],[Ventas]]&gt;100000,"Media",TRUE,"Bajo")</f>
        <v>Media</v>
      </c>
    </row>
    <row r="762" spans="1:11" x14ac:dyDescent="0.25">
      <c r="A762" s="1" t="s">
        <v>98</v>
      </c>
      <c r="B762" s="1" t="s">
        <v>108</v>
      </c>
      <c r="C762" s="1" t="s">
        <v>89</v>
      </c>
      <c r="D762" s="1" t="s">
        <v>9</v>
      </c>
      <c r="E762" s="2">
        <v>42292.457638888889</v>
      </c>
      <c r="F762" s="1" t="s">
        <v>6</v>
      </c>
      <c r="G762" s="1">
        <v>75445</v>
      </c>
      <c r="H762" s="1">
        <v>32</v>
      </c>
      <c r="I762" s="1" t="s">
        <v>80</v>
      </c>
      <c r="J762" s="1">
        <f>+Table2[[#This Row],[Ventas]]/Table2[[#This Row],[Cantidad]]</f>
        <v>2357.65625</v>
      </c>
      <c r="K762" s="1" t="str">
        <f>+_xlfn.IFS(Table2[[#This Row],[Ventas]]&gt;200000,"Alta", Table2[[#This Row],[Ventas]]&gt;100000,"Media",TRUE,"Bajo")</f>
        <v>Bajo</v>
      </c>
    </row>
    <row r="763" spans="1:11" x14ac:dyDescent="0.25">
      <c r="A763" s="1" t="s">
        <v>98</v>
      </c>
      <c r="B763" s="1" t="s">
        <v>138</v>
      </c>
      <c r="C763" s="1" t="s">
        <v>86</v>
      </c>
      <c r="D763" s="1" t="s">
        <v>5</v>
      </c>
      <c r="E763" s="2">
        <v>42307.457638888889</v>
      </c>
      <c r="F763" s="1" t="s">
        <v>6</v>
      </c>
      <c r="G763" s="1">
        <v>212526</v>
      </c>
      <c r="H763" s="1">
        <v>41</v>
      </c>
      <c r="I763" s="1" t="s">
        <v>81</v>
      </c>
      <c r="J763" s="1">
        <f>+Table2[[#This Row],[Ventas]]/Table2[[#This Row],[Cantidad]]</f>
        <v>5183.5609756097565</v>
      </c>
      <c r="K763" s="1" t="str">
        <f>+_xlfn.IFS(Table2[[#This Row],[Ventas]]&gt;200000,"Alta", Table2[[#This Row],[Ventas]]&gt;100000,"Media",TRUE,"Bajo")</f>
        <v>Alta</v>
      </c>
    </row>
    <row r="764" spans="1:11" x14ac:dyDescent="0.25">
      <c r="A764" s="1" t="s">
        <v>98</v>
      </c>
      <c r="B764" s="1" t="s">
        <v>146</v>
      </c>
      <c r="C764" s="1" t="s">
        <v>87</v>
      </c>
      <c r="D764" s="1" t="s">
        <v>9</v>
      </c>
      <c r="E764" s="2">
        <v>42292.457638888889</v>
      </c>
      <c r="F764" s="1" t="s">
        <v>7</v>
      </c>
      <c r="G764" s="1">
        <v>233126</v>
      </c>
      <c r="H764" s="1">
        <v>23</v>
      </c>
      <c r="I764" s="1" t="s">
        <v>80</v>
      </c>
      <c r="J764" s="1">
        <f>+Table2[[#This Row],[Ventas]]/Table2[[#This Row],[Cantidad]]</f>
        <v>10135.91304347826</v>
      </c>
      <c r="K764" s="1" t="str">
        <f>+_xlfn.IFS(Table2[[#This Row],[Ventas]]&gt;200000,"Alta", Table2[[#This Row],[Ventas]]&gt;100000,"Media",TRUE,"Bajo")</f>
        <v>Alta</v>
      </c>
    </row>
    <row r="765" spans="1:11" x14ac:dyDescent="0.25">
      <c r="A765" s="1" t="s">
        <v>98</v>
      </c>
      <c r="B765" s="1" t="s">
        <v>125</v>
      </c>
      <c r="C765" s="1" t="s">
        <v>87</v>
      </c>
      <c r="D765" s="1" t="s">
        <v>9</v>
      </c>
      <c r="E765" s="2">
        <v>42292.457638888889</v>
      </c>
      <c r="F765" s="1" t="s">
        <v>6</v>
      </c>
      <c r="G765" s="1">
        <v>53775</v>
      </c>
      <c r="H765" s="1">
        <v>15</v>
      </c>
      <c r="I765" s="1" t="s">
        <v>82</v>
      </c>
      <c r="J765" s="1">
        <f>+Table2[[#This Row],[Ventas]]/Table2[[#This Row],[Cantidad]]</f>
        <v>3585</v>
      </c>
      <c r="K765" s="1" t="str">
        <f>+_xlfn.IFS(Table2[[#This Row],[Ventas]]&gt;200000,"Alta", Table2[[#This Row],[Ventas]]&gt;100000,"Media",TRUE,"Bajo")</f>
        <v>Bajo</v>
      </c>
    </row>
    <row r="766" spans="1:11" x14ac:dyDescent="0.25">
      <c r="A766" s="1" t="s">
        <v>98</v>
      </c>
      <c r="B766" s="1" t="s">
        <v>59</v>
      </c>
      <c r="C766" s="1" t="s">
        <v>91</v>
      </c>
      <c r="D766" s="1" t="s">
        <v>9</v>
      </c>
      <c r="E766" s="2">
        <v>42307.457638888889</v>
      </c>
      <c r="F766" s="1" t="s">
        <v>10</v>
      </c>
      <c r="G766" s="1">
        <v>103188</v>
      </c>
      <c r="H766" s="1">
        <v>32</v>
      </c>
      <c r="I766" s="1" t="s">
        <v>79</v>
      </c>
      <c r="J766" s="1">
        <f>+Table2[[#This Row],[Ventas]]/Table2[[#This Row],[Cantidad]]</f>
        <v>3224.625</v>
      </c>
      <c r="K766" s="1" t="str">
        <f>+_xlfn.IFS(Table2[[#This Row],[Ventas]]&gt;200000,"Alta", Table2[[#This Row],[Ventas]]&gt;100000,"Media",TRUE,"Bajo")</f>
        <v>Media</v>
      </c>
    </row>
    <row r="767" spans="1:11" x14ac:dyDescent="0.25">
      <c r="A767" s="1" t="s">
        <v>98</v>
      </c>
      <c r="B767" s="1" t="s">
        <v>59</v>
      </c>
      <c r="C767" s="1" t="s">
        <v>91</v>
      </c>
      <c r="D767" s="1" t="s">
        <v>9</v>
      </c>
      <c r="E767" s="2">
        <v>42307.457638888889</v>
      </c>
      <c r="F767" s="1" t="s">
        <v>10</v>
      </c>
      <c r="G767" s="1">
        <v>80767</v>
      </c>
      <c r="H767" s="1">
        <v>25</v>
      </c>
      <c r="I767" s="1" t="s">
        <v>79</v>
      </c>
      <c r="J767" s="1">
        <f>+Table2[[#This Row],[Ventas]]/Table2[[#This Row],[Cantidad]]</f>
        <v>3230.68</v>
      </c>
      <c r="K767" s="1" t="str">
        <f>+_xlfn.IFS(Table2[[#This Row],[Ventas]]&gt;200000,"Alta", Table2[[#This Row],[Ventas]]&gt;100000,"Media",TRUE,"Bajo")</f>
        <v>Bajo</v>
      </c>
    </row>
    <row r="768" spans="1:11" x14ac:dyDescent="0.25">
      <c r="A768" s="1" t="s">
        <v>98</v>
      </c>
      <c r="B768" s="1" t="s">
        <v>144</v>
      </c>
      <c r="C768" s="1" t="s">
        <v>84</v>
      </c>
      <c r="D768" s="1" t="s">
        <v>5</v>
      </c>
      <c r="E768" s="2">
        <v>42292.457638888889</v>
      </c>
      <c r="F768" s="1" t="s">
        <v>6</v>
      </c>
      <c r="G768" s="1">
        <v>171381</v>
      </c>
      <c r="H768" s="1">
        <v>15</v>
      </c>
      <c r="I768" s="1" t="s">
        <v>93</v>
      </c>
      <c r="J768" s="1">
        <f>+Table2[[#This Row],[Ventas]]/Table2[[#This Row],[Cantidad]]</f>
        <v>11425.4</v>
      </c>
      <c r="K768" s="1" t="str">
        <f>+_xlfn.IFS(Table2[[#This Row],[Ventas]]&gt;200000,"Alta", Table2[[#This Row],[Ventas]]&gt;100000,"Media",TRUE,"Bajo")</f>
        <v>Media</v>
      </c>
    </row>
    <row r="769" spans="1:11" x14ac:dyDescent="0.25">
      <c r="A769" s="1" t="s">
        <v>98</v>
      </c>
      <c r="B769" s="1" t="s">
        <v>59</v>
      </c>
      <c r="C769" s="1" t="s">
        <v>91</v>
      </c>
      <c r="D769" s="1" t="s">
        <v>9</v>
      </c>
      <c r="E769" s="2">
        <v>42307.457638888889</v>
      </c>
      <c r="F769" s="1" t="s">
        <v>10</v>
      </c>
      <c r="G769" s="1">
        <v>224177</v>
      </c>
      <c r="H769" s="1">
        <v>24</v>
      </c>
      <c r="I769" s="1" t="s">
        <v>81</v>
      </c>
      <c r="J769" s="1">
        <f>+Table2[[#This Row],[Ventas]]/Table2[[#This Row],[Cantidad]]</f>
        <v>9340.7083333333339</v>
      </c>
      <c r="K769" s="1" t="str">
        <f>+_xlfn.IFS(Table2[[#This Row],[Ventas]]&gt;200000,"Alta", Table2[[#This Row],[Ventas]]&gt;100000,"Media",TRUE,"Bajo")</f>
        <v>Alta</v>
      </c>
    </row>
    <row r="770" spans="1:11" x14ac:dyDescent="0.25">
      <c r="A770" s="1" t="s">
        <v>98</v>
      </c>
      <c r="B770" s="1" t="s">
        <v>59</v>
      </c>
      <c r="C770" s="1" t="s">
        <v>91</v>
      </c>
      <c r="D770" s="1" t="s">
        <v>9</v>
      </c>
      <c r="E770" s="2">
        <v>42307.457638888889</v>
      </c>
      <c r="F770" s="1" t="s">
        <v>10</v>
      </c>
      <c r="G770" s="1">
        <v>59830</v>
      </c>
      <c r="H770" s="1">
        <v>20</v>
      </c>
      <c r="I770" s="1" t="s">
        <v>79</v>
      </c>
      <c r="J770" s="1">
        <f>+Table2[[#This Row],[Ventas]]/Table2[[#This Row],[Cantidad]]</f>
        <v>2991.5</v>
      </c>
      <c r="K770" s="1" t="str">
        <f>+_xlfn.IFS(Table2[[#This Row],[Ventas]]&gt;200000,"Alta", Table2[[#This Row],[Ventas]]&gt;100000,"Media",TRUE,"Bajo")</f>
        <v>Bajo</v>
      </c>
    </row>
    <row r="771" spans="1:11" x14ac:dyDescent="0.25">
      <c r="A771" s="1" t="s">
        <v>98</v>
      </c>
      <c r="B771" s="1" t="s">
        <v>23</v>
      </c>
      <c r="C771" s="1" t="s">
        <v>86</v>
      </c>
      <c r="D771" s="1" t="s">
        <v>5</v>
      </c>
      <c r="E771" s="2">
        <v>42307.457638888889</v>
      </c>
      <c r="F771" s="1" t="s">
        <v>6</v>
      </c>
      <c r="G771" s="1">
        <v>53496</v>
      </c>
      <c r="H771" s="1">
        <v>21</v>
      </c>
      <c r="I771" s="1" t="s">
        <v>82</v>
      </c>
      <c r="J771" s="1">
        <f>+Table2[[#This Row],[Ventas]]/Table2[[#This Row],[Cantidad]]</f>
        <v>2547.4285714285716</v>
      </c>
      <c r="K771" s="1" t="str">
        <f>+_xlfn.IFS(Table2[[#This Row],[Ventas]]&gt;200000,"Alta", Table2[[#This Row],[Ventas]]&gt;100000,"Media",TRUE,"Bajo")</f>
        <v>Bajo</v>
      </c>
    </row>
    <row r="772" spans="1:11" x14ac:dyDescent="0.25">
      <c r="A772" s="1" t="s">
        <v>99</v>
      </c>
      <c r="B772" s="1" t="s">
        <v>146</v>
      </c>
      <c r="C772" s="1" t="s">
        <v>89</v>
      </c>
      <c r="D772" s="1" t="s">
        <v>9</v>
      </c>
      <c r="E772" s="2">
        <v>42307.457638888889</v>
      </c>
      <c r="F772" s="1" t="s">
        <v>6</v>
      </c>
      <c r="G772" s="1">
        <v>230086</v>
      </c>
      <c r="H772" s="1">
        <v>28</v>
      </c>
      <c r="I772" s="1" t="s">
        <v>80</v>
      </c>
      <c r="J772" s="1">
        <f>+Table2[[#This Row],[Ventas]]/Table2[[#This Row],[Cantidad]]</f>
        <v>8217.3571428571431</v>
      </c>
      <c r="K772" s="1" t="str">
        <f>+_xlfn.IFS(Table2[[#This Row],[Ventas]]&gt;200000,"Alta", Table2[[#This Row],[Ventas]]&gt;100000,"Media",TRUE,"Bajo")</f>
        <v>Alta</v>
      </c>
    </row>
    <row r="773" spans="1:11" x14ac:dyDescent="0.25">
      <c r="A773" s="1" t="s">
        <v>99</v>
      </c>
      <c r="B773" s="1" t="s">
        <v>59</v>
      </c>
      <c r="C773" s="1" t="s">
        <v>91</v>
      </c>
      <c r="D773" s="1" t="s">
        <v>9</v>
      </c>
      <c r="E773" s="2">
        <v>42307.457638888889</v>
      </c>
      <c r="F773" s="1" t="s">
        <v>10</v>
      </c>
      <c r="G773" s="1">
        <v>66815</v>
      </c>
      <c r="H773" s="1">
        <v>29</v>
      </c>
      <c r="I773" s="1" t="s">
        <v>79</v>
      </c>
      <c r="J773" s="1">
        <f>+Table2[[#This Row],[Ventas]]/Table2[[#This Row],[Cantidad]]</f>
        <v>2303.9655172413795</v>
      </c>
      <c r="K773" s="1" t="str">
        <f>+_xlfn.IFS(Table2[[#This Row],[Ventas]]&gt;200000,"Alta", Table2[[#This Row],[Ventas]]&gt;100000,"Media",TRUE,"Bajo")</f>
        <v>Bajo</v>
      </c>
    </row>
    <row r="774" spans="1:11" x14ac:dyDescent="0.25">
      <c r="A774" s="1" t="s">
        <v>99</v>
      </c>
      <c r="B774" s="1" t="s">
        <v>59</v>
      </c>
      <c r="C774" s="1" t="s">
        <v>91</v>
      </c>
      <c r="D774" s="1" t="s">
        <v>9</v>
      </c>
      <c r="E774" s="2">
        <v>42307.457638888889</v>
      </c>
      <c r="F774" s="1" t="s">
        <v>10</v>
      </c>
      <c r="G774" s="1">
        <v>119431</v>
      </c>
      <c r="H774" s="1">
        <v>34</v>
      </c>
      <c r="I774" s="1" t="s">
        <v>80</v>
      </c>
      <c r="J774" s="1">
        <f>+Table2[[#This Row],[Ventas]]/Table2[[#This Row],[Cantidad]]</f>
        <v>3512.6764705882351</v>
      </c>
      <c r="K774" s="1" t="str">
        <f>+_xlfn.IFS(Table2[[#This Row],[Ventas]]&gt;200000,"Alta", Table2[[#This Row],[Ventas]]&gt;100000,"Media",TRUE,"Bajo")</f>
        <v>Media</v>
      </c>
    </row>
    <row r="775" spans="1:11" x14ac:dyDescent="0.25">
      <c r="A775" s="1" t="s">
        <v>99</v>
      </c>
      <c r="B775" s="1" t="s">
        <v>59</v>
      </c>
      <c r="C775" s="1" t="s">
        <v>91</v>
      </c>
      <c r="D775" s="1" t="s">
        <v>9</v>
      </c>
      <c r="E775" s="2">
        <v>42307.457638888889</v>
      </c>
      <c r="F775" s="1" t="s">
        <v>10</v>
      </c>
      <c r="G775" s="1">
        <v>125421</v>
      </c>
      <c r="H775" s="1">
        <v>30</v>
      </c>
      <c r="I775" s="1" t="s">
        <v>79</v>
      </c>
      <c r="J775" s="1">
        <f>+Table2[[#This Row],[Ventas]]/Table2[[#This Row],[Cantidad]]</f>
        <v>4180.7</v>
      </c>
      <c r="K775" s="1" t="str">
        <f>+_xlfn.IFS(Table2[[#This Row],[Ventas]]&gt;200000,"Alta", Table2[[#This Row],[Ventas]]&gt;100000,"Media",TRUE,"Bajo")</f>
        <v>Media</v>
      </c>
    </row>
    <row r="776" spans="1:11" x14ac:dyDescent="0.25">
      <c r="A776" s="1" t="s">
        <v>99</v>
      </c>
      <c r="B776" s="1" t="s">
        <v>14</v>
      </c>
      <c r="C776" s="1" t="s">
        <v>89</v>
      </c>
      <c r="D776" s="1" t="s">
        <v>9</v>
      </c>
      <c r="E776" s="2">
        <v>42292.457638888889</v>
      </c>
      <c r="F776" s="1" t="s">
        <v>6</v>
      </c>
      <c r="G776" s="1">
        <v>228766</v>
      </c>
      <c r="H776" s="1">
        <v>24</v>
      </c>
      <c r="I776" s="1" t="s">
        <v>80</v>
      </c>
      <c r="J776" s="1">
        <f>+Table2[[#This Row],[Ventas]]/Table2[[#This Row],[Cantidad]]</f>
        <v>9531.9166666666661</v>
      </c>
      <c r="K776" s="1" t="str">
        <f>+_xlfn.IFS(Table2[[#This Row],[Ventas]]&gt;200000,"Alta", Table2[[#This Row],[Ventas]]&gt;100000,"Media",TRUE,"Bajo")</f>
        <v>Alta</v>
      </c>
    </row>
    <row r="777" spans="1:11" x14ac:dyDescent="0.25">
      <c r="A777" s="1" t="s">
        <v>99</v>
      </c>
      <c r="B777" s="1" t="s">
        <v>118</v>
      </c>
      <c r="C777" s="1" t="s">
        <v>92</v>
      </c>
      <c r="D777" s="1" t="s">
        <v>5</v>
      </c>
      <c r="E777" s="2">
        <v>42307.457638888889</v>
      </c>
      <c r="F777" s="1" t="s">
        <v>7</v>
      </c>
      <c r="G777" s="1">
        <v>249451</v>
      </c>
      <c r="H777" s="1">
        <v>34</v>
      </c>
      <c r="I777" s="1" t="s">
        <v>82</v>
      </c>
      <c r="J777" s="1">
        <f>+Table2[[#This Row],[Ventas]]/Table2[[#This Row],[Cantidad]]</f>
        <v>7336.7941176470586</v>
      </c>
      <c r="K777" s="1" t="str">
        <f>+_xlfn.IFS(Table2[[#This Row],[Ventas]]&gt;200000,"Alta", Table2[[#This Row],[Ventas]]&gt;100000,"Media",TRUE,"Bajo")</f>
        <v>Alta</v>
      </c>
    </row>
    <row r="778" spans="1:11" x14ac:dyDescent="0.25">
      <c r="A778" s="1" t="s">
        <v>99</v>
      </c>
      <c r="B778" s="1" t="s">
        <v>117</v>
      </c>
      <c r="C778" s="1" t="s">
        <v>89</v>
      </c>
      <c r="D778" s="1" t="s">
        <v>9</v>
      </c>
      <c r="E778" s="2">
        <v>42307.457638888889</v>
      </c>
      <c r="F778" s="1" t="s">
        <v>6</v>
      </c>
      <c r="G778" s="1">
        <v>217625</v>
      </c>
      <c r="H778" s="1">
        <v>37</v>
      </c>
      <c r="I778" s="1" t="s">
        <v>81</v>
      </c>
      <c r="J778" s="1">
        <f>+Table2[[#This Row],[Ventas]]/Table2[[#This Row],[Cantidad]]</f>
        <v>5881.7567567567567</v>
      </c>
      <c r="K778" s="1" t="str">
        <f>+_xlfn.IFS(Table2[[#This Row],[Ventas]]&gt;200000,"Alta", Table2[[#This Row],[Ventas]]&gt;100000,"Media",TRUE,"Bajo")</f>
        <v>Alta</v>
      </c>
    </row>
    <row r="779" spans="1:11" x14ac:dyDescent="0.25">
      <c r="A779" s="1" t="s">
        <v>99</v>
      </c>
      <c r="B779" s="1" t="s">
        <v>62</v>
      </c>
      <c r="C779" s="1" t="s">
        <v>91</v>
      </c>
      <c r="D779" s="1" t="s">
        <v>9</v>
      </c>
      <c r="E779" s="2">
        <v>42285.457638888889</v>
      </c>
      <c r="F779" s="1" t="s">
        <v>7</v>
      </c>
      <c r="G779" s="1">
        <v>131959</v>
      </c>
      <c r="H779" s="1">
        <v>23</v>
      </c>
      <c r="I779" s="1" t="s">
        <v>81</v>
      </c>
      <c r="J779" s="1">
        <f>+Table2[[#This Row],[Ventas]]/Table2[[#This Row],[Cantidad]]</f>
        <v>5737.347826086957</v>
      </c>
      <c r="K779" s="1" t="str">
        <f>+_xlfn.IFS(Table2[[#This Row],[Ventas]]&gt;200000,"Alta", Table2[[#This Row],[Ventas]]&gt;100000,"Media",TRUE,"Bajo")</f>
        <v>Media</v>
      </c>
    </row>
    <row r="780" spans="1:11" x14ac:dyDescent="0.25">
      <c r="A780" s="1" t="s">
        <v>99</v>
      </c>
      <c r="B780" s="1" t="s">
        <v>59</v>
      </c>
      <c r="C780" s="1" t="s">
        <v>91</v>
      </c>
      <c r="D780" s="1" t="s">
        <v>9</v>
      </c>
      <c r="E780" s="2">
        <v>42307.457638888889</v>
      </c>
      <c r="F780" s="1" t="s">
        <v>10</v>
      </c>
      <c r="G780" s="1">
        <v>205930</v>
      </c>
      <c r="H780" s="1">
        <v>38</v>
      </c>
      <c r="I780" s="1" t="s">
        <v>79</v>
      </c>
      <c r="J780" s="1">
        <f>+Table2[[#This Row],[Ventas]]/Table2[[#This Row],[Cantidad]]</f>
        <v>5419.2105263157891</v>
      </c>
      <c r="K780" s="1" t="str">
        <f>+_xlfn.IFS(Table2[[#This Row],[Ventas]]&gt;200000,"Alta", Table2[[#This Row],[Ventas]]&gt;100000,"Media",TRUE,"Bajo")</f>
        <v>Alta</v>
      </c>
    </row>
    <row r="781" spans="1:11" x14ac:dyDescent="0.25">
      <c r="A781" s="1" t="s">
        <v>99</v>
      </c>
      <c r="B781" s="1" t="s">
        <v>147</v>
      </c>
      <c r="C781" s="1" t="s">
        <v>89</v>
      </c>
      <c r="D781" s="1" t="s">
        <v>9</v>
      </c>
      <c r="E781" s="2">
        <v>42278.457638888889</v>
      </c>
      <c r="F781" s="1" t="s">
        <v>6</v>
      </c>
      <c r="G781" s="1">
        <v>142568</v>
      </c>
      <c r="H781" s="1">
        <v>17</v>
      </c>
      <c r="I781" s="1" t="s">
        <v>79</v>
      </c>
      <c r="J781" s="1">
        <f>+Table2[[#This Row],[Ventas]]/Table2[[#This Row],[Cantidad]]</f>
        <v>8386.3529411764703</v>
      </c>
      <c r="K781" s="1" t="str">
        <f>+_xlfn.IFS(Table2[[#This Row],[Ventas]]&gt;200000,"Alta", Table2[[#This Row],[Ventas]]&gt;100000,"Media",TRUE,"Bajo")</f>
        <v>Media</v>
      </c>
    </row>
    <row r="782" spans="1:11" x14ac:dyDescent="0.25">
      <c r="A782" s="1" t="s">
        <v>99</v>
      </c>
      <c r="B782" s="1" t="s">
        <v>147</v>
      </c>
      <c r="C782" s="1" t="s">
        <v>89</v>
      </c>
      <c r="D782" s="1" t="s">
        <v>9</v>
      </c>
      <c r="E782" s="2">
        <v>42278.457638888889</v>
      </c>
      <c r="F782" s="1" t="s">
        <v>6</v>
      </c>
      <c r="G782" s="1">
        <v>150709</v>
      </c>
      <c r="H782" s="1">
        <v>30</v>
      </c>
      <c r="I782" s="1" t="s">
        <v>80</v>
      </c>
      <c r="J782" s="1">
        <f>+Table2[[#This Row],[Ventas]]/Table2[[#This Row],[Cantidad]]</f>
        <v>5023.6333333333332</v>
      </c>
      <c r="K782" s="1" t="str">
        <f>+_xlfn.IFS(Table2[[#This Row],[Ventas]]&gt;200000,"Alta", Table2[[#This Row],[Ventas]]&gt;100000,"Media",TRUE,"Bajo")</f>
        <v>Media</v>
      </c>
    </row>
    <row r="783" spans="1:11" x14ac:dyDescent="0.25">
      <c r="A783" s="1" t="s">
        <v>99</v>
      </c>
      <c r="B783" s="1" t="s">
        <v>146</v>
      </c>
      <c r="C783" s="1" t="s">
        <v>87</v>
      </c>
      <c r="D783" s="1" t="s">
        <v>9</v>
      </c>
      <c r="E783" s="2">
        <v>42292.457638888889</v>
      </c>
      <c r="F783" s="1" t="s">
        <v>6</v>
      </c>
      <c r="G783" s="1">
        <v>105066</v>
      </c>
      <c r="H783" s="1">
        <v>39</v>
      </c>
      <c r="I783" s="1" t="s">
        <v>80</v>
      </c>
      <c r="J783" s="1">
        <f>+Table2[[#This Row],[Ventas]]/Table2[[#This Row],[Cantidad]]</f>
        <v>2694</v>
      </c>
      <c r="K783" s="1" t="str">
        <f>+_xlfn.IFS(Table2[[#This Row],[Ventas]]&gt;200000,"Alta", Table2[[#This Row],[Ventas]]&gt;100000,"Media",TRUE,"Bajo")</f>
        <v>Media</v>
      </c>
    </row>
    <row r="784" spans="1:11" x14ac:dyDescent="0.25">
      <c r="A784" s="1" t="s">
        <v>99</v>
      </c>
      <c r="B784" s="1" t="s">
        <v>138</v>
      </c>
      <c r="C784" s="1" t="s">
        <v>92</v>
      </c>
      <c r="D784" s="1" t="s">
        <v>5</v>
      </c>
      <c r="E784" s="2">
        <v>42307.457638888889</v>
      </c>
      <c r="F784" s="1" t="s">
        <v>6</v>
      </c>
      <c r="G784" s="1">
        <v>72691</v>
      </c>
      <c r="H784" s="1">
        <v>32</v>
      </c>
      <c r="I784" s="1" t="s">
        <v>80</v>
      </c>
      <c r="J784" s="1">
        <f>+Table2[[#This Row],[Ventas]]/Table2[[#This Row],[Cantidad]]</f>
        <v>2271.59375</v>
      </c>
      <c r="K784" s="1" t="str">
        <f>+_xlfn.IFS(Table2[[#This Row],[Ventas]]&gt;200000,"Alta", Table2[[#This Row],[Ventas]]&gt;100000,"Media",TRUE,"Bajo")</f>
        <v>Bajo</v>
      </c>
    </row>
    <row r="785" spans="1:11" x14ac:dyDescent="0.25">
      <c r="A785" s="1" t="s">
        <v>99</v>
      </c>
      <c r="B785" s="1" t="s">
        <v>108</v>
      </c>
      <c r="C785" s="1" t="s">
        <v>91</v>
      </c>
      <c r="D785" s="1" t="s">
        <v>9</v>
      </c>
      <c r="E785" s="2">
        <v>42292.457638888889</v>
      </c>
      <c r="F785" s="1" t="s">
        <v>6</v>
      </c>
      <c r="G785" s="1">
        <v>145150</v>
      </c>
      <c r="H785" s="1">
        <v>42</v>
      </c>
      <c r="I785" s="1" t="s">
        <v>82</v>
      </c>
      <c r="J785" s="1">
        <f>+Table2[[#This Row],[Ventas]]/Table2[[#This Row],[Cantidad]]</f>
        <v>3455.9523809523807</v>
      </c>
      <c r="K785" s="1" t="str">
        <f>+_xlfn.IFS(Table2[[#This Row],[Ventas]]&gt;200000,"Alta", Table2[[#This Row],[Ventas]]&gt;100000,"Media",TRUE,"Bajo")</f>
        <v>Media</v>
      </c>
    </row>
    <row r="786" spans="1:11" x14ac:dyDescent="0.25">
      <c r="A786" s="1" t="s">
        <v>99</v>
      </c>
      <c r="B786" s="1" t="s">
        <v>138</v>
      </c>
      <c r="C786" s="1" t="s">
        <v>92</v>
      </c>
      <c r="D786" s="1" t="s">
        <v>5</v>
      </c>
      <c r="E786" s="2">
        <v>42307.457638888889</v>
      </c>
      <c r="F786" s="1" t="s">
        <v>6</v>
      </c>
      <c r="G786" s="1">
        <v>186297</v>
      </c>
      <c r="H786" s="1">
        <v>36</v>
      </c>
      <c r="I786" s="1" t="s">
        <v>80</v>
      </c>
      <c r="J786" s="1">
        <f>+Table2[[#This Row],[Ventas]]/Table2[[#This Row],[Cantidad]]</f>
        <v>5174.916666666667</v>
      </c>
      <c r="K786" s="1" t="str">
        <f>+_xlfn.IFS(Table2[[#This Row],[Ventas]]&gt;200000,"Alta", Table2[[#This Row],[Ventas]]&gt;100000,"Media",TRUE,"Bajo")</f>
        <v>Media</v>
      </c>
    </row>
    <row r="787" spans="1:11" x14ac:dyDescent="0.25">
      <c r="A787" s="1" t="s">
        <v>99</v>
      </c>
      <c r="B787" s="1" t="s">
        <v>8</v>
      </c>
      <c r="C787" s="1" t="s">
        <v>89</v>
      </c>
      <c r="D787" s="1" t="s">
        <v>9</v>
      </c>
      <c r="E787" s="2">
        <v>42307.457638888889</v>
      </c>
      <c r="F787" s="1" t="s">
        <v>6</v>
      </c>
      <c r="G787" s="1">
        <v>169649</v>
      </c>
      <c r="H787" s="1">
        <v>28</v>
      </c>
      <c r="I787" s="1" t="s">
        <v>80</v>
      </c>
      <c r="J787" s="1">
        <f>+Table2[[#This Row],[Ventas]]/Table2[[#This Row],[Cantidad]]</f>
        <v>6058.8928571428569</v>
      </c>
      <c r="K787" s="1" t="str">
        <f>+_xlfn.IFS(Table2[[#This Row],[Ventas]]&gt;200000,"Alta", Table2[[#This Row],[Ventas]]&gt;100000,"Media",TRUE,"Bajo")</f>
        <v>Media</v>
      </c>
    </row>
    <row r="788" spans="1:11" x14ac:dyDescent="0.25">
      <c r="A788" s="1" t="s">
        <v>100</v>
      </c>
      <c r="B788" s="1" t="s">
        <v>114</v>
      </c>
      <c r="C788" s="1" t="s">
        <v>92</v>
      </c>
      <c r="D788" s="1" t="s">
        <v>5</v>
      </c>
      <c r="E788" s="2">
        <v>42306.457638888889</v>
      </c>
      <c r="F788" s="1" t="s">
        <v>6</v>
      </c>
      <c r="G788" s="1">
        <v>114630</v>
      </c>
      <c r="H788" s="1">
        <v>15</v>
      </c>
      <c r="I788" s="1" t="s">
        <v>81</v>
      </c>
      <c r="J788" s="1">
        <f>+Table2[[#This Row],[Ventas]]/Table2[[#This Row],[Cantidad]]</f>
        <v>7642</v>
      </c>
      <c r="K788" s="1" t="str">
        <f>+_xlfn.IFS(Table2[[#This Row],[Ventas]]&gt;200000,"Alta", Table2[[#This Row],[Ventas]]&gt;100000,"Media",TRUE,"Bajo")</f>
        <v>Media</v>
      </c>
    </row>
    <row r="789" spans="1:11" x14ac:dyDescent="0.25">
      <c r="A789" s="1" t="s">
        <v>100</v>
      </c>
      <c r="B789" s="1" t="s">
        <v>15</v>
      </c>
      <c r="C789" s="1" t="s">
        <v>92</v>
      </c>
      <c r="D789" s="1" t="s">
        <v>5</v>
      </c>
      <c r="E789" s="2">
        <v>42300.457638888889</v>
      </c>
      <c r="F789" s="1" t="s">
        <v>6</v>
      </c>
      <c r="G789" s="1">
        <v>150686</v>
      </c>
      <c r="H789" s="1">
        <v>26</v>
      </c>
      <c r="I789" s="1" t="s">
        <v>81</v>
      </c>
      <c r="J789" s="1">
        <f>+Table2[[#This Row],[Ventas]]/Table2[[#This Row],[Cantidad]]</f>
        <v>5795.6153846153848</v>
      </c>
      <c r="K789" s="1" t="str">
        <f>+_xlfn.IFS(Table2[[#This Row],[Ventas]]&gt;200000,"Alta", Table2[[#This Row],[Ventas]]&gt;100000,"Media",TRUE,"Bajo")</f>
        <v>Media</v>
      </c>
    </row>
    <row r="790" spans="1:11" x14ac:dyDescent="0.25">
      <c r="A790" s="1" t="s">
        <v>100</v>
      </c>
      <c r="B790" s="1" t="s">
        <v>124</v>
      </c>
      <c r="C790" s="1" t="s">
        <v>92</v>
      </c>
      <c r="D790" s="1" t="s">
        <v>5</v>
      </c>
      <c r="E790" s="2">
        <v>42307.457638888889</v>
      </c>
      <c r="F790" s="1" t="s">
        <v>6</v>
      </c>
      <c r="G790" s="1">
        <v>207351</v>
      </c>
      <c r="H790" s="1">
        <v>26</v>
      </c>
      <c r="I790" s="1" t="s">
        <v>93</v>
      </c>
      <c r="J790" s="1">
        <f>+Table2[[#This Row],[Ventas]]/Table2[[#This Row],[Cantidad]]</f>
        <v>7975.0384615384619</v>
      </c>
      <c r="K790" s="1" t="str">
        <f>+_xlfn.IFS(Table2[[#This Row],[Ventas]]&gt;200000,"Alta", Table2[[#This Row],[Ventas]]&gt;100000,"Media",TRUE,"Bajo")</f>
        <v>Alta</v>
      </c>
    </row>
    <row r="791" spans="1:11" x14ac:dyDescent="0.25">
      <c r="A791" s="1" t="s">
        <v>100</v>
      </c>
      <c r="B791" s="1" t="s">
        <v>59</v>
      </c>
      <c r="C791" s="1" t="s">
        <v>91</v>
      </c>
      <c r="D791" s="1" t="s">
        <v>9</v>
      </c>
      <c r="E791" s="2">
        <v>42307.457638888889</v>
      </c>
      <c r="F791" s="1" t="s">
        <v>10</v>
      </c>
      <c r="G791" s="1">
        <v>215420</v>
      </c>
      <c r="H791" s="1">
        <v>33</v>
      </c>
      <c r="I791" s="1" t="s">
        <v>81</v>
      </c>
      <c r="J791" s="1">
        <f>+Table2[[#This Row],[Ventas]]/Table2[[#This Row],[Cantidad]]</f>
        <v>6527.878787878788</v>
      </c>
      <c r="K791" s="1" t="str">
        <f>+_xlfn.IFS(Table2[[#This Row],[Ventas]]&gt;200000,"Alta", Table2[[#This Row],[Ventas]]&gt;100000,"Media",TRUE,"Bajo")</f>
        <v>Alta</v>
      </c>
    </row>
    <row r="792" spans="1:11" x14ac:dyDescent="0.25">
      <c r="A792" s="1" t="s">
        <v>100</v>
      </c>
      <c r="B792" s="1" t="s">
        <v>75</v>
      </c>
      <c r="C792" s="1" t="s">
        <v>88</v>
      </c>
      <c r="D792" s="1" t="s">
        <v>9</v>
      </c>
      <c r="E792" s="2">
        <v>42307.457638888889</v>
      </c>
      <c r="F792" s="1" t="s">
        <v>7</v>
      </c>
      <c r="G792" s="1">
        <v>216876</v>
      </c>
      <c r="H792" s="1">
        <v>33</v>
      </c>
      <c r="I792" s="1" t="s">
        <v>80</v>
      </c>
      <c r="J792" s="1">
        <f>+Table2[[#This Row],[Ventas]]/Table2[[#This Row],[Cantidad]]</f>
        <v>6572</v>
      </c>
      <c r="K792" s="1" t="str">
        <f>+_xlfn.IFS(Table2[[#This Row],[Ventas]]&gt;200000,"Alta", Table2[[#This Row],[Ventas]]&gt;100000,"Media",TRUE,"Bajo")</f>
        <v>Alta</v>
      </c>
    </row>
    <row r="793" spans="1:11" x14ac:dyDescent="0.25">
      <c r="A793" s="1" t="s">
        <v>100</v>
      </c>
      <c r="B793" s="1" t="s">
        <v>28</v>
      </c>
      <c r="C793" s="1" t="s">
        <v>86</v>
      </c>
      <c r="D793" s="1" t="s">
        <v>9</v>
      </c>
      <c r="E793" s="2">
        <v>42292.457638888889</v>
      </c>
      <c r="F793" s="1" t="s">
        <v>6</v>
      </c>
      <c r="G793" s="1">
        <v>71356</v>
      </c>
      <c r="H793" s="1">
        <v>39</v>
      </c>
      <c r="I793" s="1" t="s">
        <v>80</v>
      </c>
      <c r="J793" s="1">
        <f>+Table2[[#This Row],[Ventas]]/Table2[[#This Row],[Cantidad]]</f>
        <v>1829.6410256410256</v>
      </c>
      <c r="K793" s="1" t="str">
        <f>+_xlfn.IFS(Table2[[#This Row],[Ventas]]&gt;200000,"Alta", Table2[[#This Row],[Ventas]]&gt;100000,"Media",TRUE,"Bajo")</f>
        <v>Bajo</v>
      </c>
    </row>
    <row r="794" spans="1:11" x14ac:dyDescent="0.25">
      <c r="A794" s="1" t="s">
        <v>100</v>
      </c>
      <c r="B794" s="1" t="s">
        <v>28</v>
      </c>
      <c r="C794" s="1" t="s">
        <v>86</v>
      </c>
      <c r="D794" s="1" t="s">
        <v>9</v>
      </c>
      <c r="E794" s="2">
        <v>42292.457638888889</v>
      </c>
      <c r="F794" s="1" t="s">
        <v>6</v>
      </c>
      <c r="G794" s="1">
        <v>160149</v>
      </c>
      <c r="H794" s="1">
        <v>27</v>
      </c>
      <c r="I794" s="1" t="s">
        <v>80</v>
      </c>
      <c r="J794" s="1">
        <f>+Table2[[#This Row],[Ventas]]/Table2[[#This Row],[Cantidad]]</f>
        <v>5931.4444444444443</v>
      </c>
      <c r="K794" s="1" t="str">
        <f>+_xlfn.IFS(Table2[[#This Row],[Ventas]]&gt;200000,"Alta", Table2[[#This Row],[Ventas]]&gt;100000,"Media",TRUE,"Bajo")</f>
        <v>Media</v>
      </c>
    </row>
    <row r="795" spans="1:11" x14ac:dyDescent="0.25">
      <c r="A795" s="1" t="s">
        <v>100</v>
      </c>
      <c r="B795" s="1" t="s">
        <v>59</v>
      </c>
      <c r="C795" s="1" t="s">
        <v>91</v>
      </c>
      <c r="D795" s="1" t="s">
        <v>9</v>
      </c>
      <c r="E795" s="2">
        <v>42307.457638888889</v>
      </c>
      <c r="F795" s="1" t="s">
        <v>10</v>
      </c>
      <c r="G795" s="1">
        <v>196395</v>
      </c>
      <c r="H795" s="1">
        <v>26</v>
      </c>
      <c r="I795" s="1" t="s">
        <v>79</v>
      </c>
      <c r="J795" s="1">
        <f>+Table2[[#This Row],[Ventas]]/Table2[[#This Row],[Cantidad]]</f>
        <v>7553.6538461538457</v>
      </c>
      <c r="K795" s="1" t="str">
        <f>+_xlfn.IFS(Table2[[#This Row],[Ventas]]&gt;200000,"Alta", Table2[[#This Row],[Ventas]]&gt;100000,"Media",TRUE,"Bajo")</f>
        <v>Media</v>
      </c>
    </row>
    <row r="796" spans="1:11" x14ac:dyDescent="0.25">
      <c r="A796" s="1" t="s">
        <v>100</v>
      </c>
      <c r="B796" s="1" t="s">
        <v>141</v>
      </c>
      <c r="C796" s="1" t="s">
        <v>89</v>
      </c>
      <c r="D796" s="1" t="s">
        <v>9</v>
      </c>
      <c r="E796" s="2">
        <v>42307.457638888889</v>
      </c>
      <c r="F796" s="1" t="s">
        <v>6</v>
      </c>
      <c r="G796" s="1">
        <v>129885</v>
      </c>
      <c r="H796" s="1">
        <v>37</v>
      </c>
      <c r="I796" s="1" t="s">
        <v>80</v>
      </c>
      <c r="J796" s="1">
        <f>+Table2[[#This Row],[Ventas]]/Table2[[#This Row],[Cantidad]]</f>
        <v>3510.4054054054054</v>
      </c>
      <c r="K796" s="1" t="str">
        <f>+_xlfn.IFS(Table2[[#This Row],[Ventas]]&gt;200000,"Alta", Table2[[#This Row],[Ventas]]&gt;100000,"Media",TRUE,"Bajo")</f>
        <v>Media</v>
      </c>
    </row>
    <row r="797" spans="1:11" x14ac:dyDescent="0.25">
      <c r="A797" s="1" t="s">
        <v>101</v>
      </c>
      <c r="B797" s="1" t="s">
        <v>29</v>
      </c>
      <c r="C797" s="1" t="s">
        <v>89</v>
      </c>
      <c r="D797" s="1" t="s">
        <v>9</v>
      </c>
      <c r="E797" s="2">
        <v>42307.457638888889</v>
      </c>
      <c r="F797" s="1" t="s">
        <v>6</v>
      </c>
      <c r="G797" s="1">
        <v>238764</v>
      </c>
      <c r="H797" s="1">
        <v>35</v>
      </c>
      <c r="I797" s="1" t="s">
        <v>80</v>
      </c>
      <c r="J797" s="1">
        <f>+Table2[[#This Row],[Ventas]]/Table2[[#This Row],[Cantidad]]</f>
        <v>6821.8285714285712</v>
      </c>
      <c r="K797" s="1" t="str">
        <f>+_xlfn.IFS(Table2[[#This Row],[Ventas]]&gt;200000,"Alta", Table2[[#This Row],[Ventas]]&gt;100000,"Media",TRUE,"Bajo")</f>
        <v>Alta</v>
      </c>
    </row>
    <row r="798" spans="1:11" x14ac:dyDescent="0.25">
      <c r="A798" s="1" t="s">
        <v>101</v>
      </c>
      <c r="B798" s="1" t="s">
        <v>148</v>
      </c>
      <c r="C798" s="1" t="s">
        <v>89</v>
      </c>
      <c r="D798" s="1" t="s">
        <v>9</v>
      </c>
      <c r="E798" s="2">
        <v>42307.457638888889</v>
      </c>
      <c r="F798" s="1" t="s">
        <v>6</v>
      </c>
      <c r="G798" s="1">
        <v>157787</v>
      </c>
      <c r="H798" s="1">
        <v>25</v>
      </c>
      <c r="I798" s="1" t="s">
        <v>93</v>
      </c>
      <c r="J798" s="1">
        <f>+Table2[[#This Row],[Ventas]]/Table2[[#This Row],[Cantidad]]</f>
        <v>6311.48</v>
      </c>
      <c r="K798" s="1" t="str">
        <f>+_xlfn.IFS(Table2[[#This Row],[Ventas]]&gt;200000,"Alta", Table2[[#This Row],[Ventas]]&gt;100000,"Media",TRUE,"Bajo")</f>
        <v>Media</v>
      </c>
    </row>
    <row r="799" spans="1:11" x14ac:dyDescent="0.25">
      <c r="A799" s="1" t="s">
        <v>101</v>
      </c>
      <c r="B799" s="1" t="s">
        <v>121</v>
      </c>
      <c r="C799" s="1" t="s">
        <v>92</v>
      </c>
      <c r="D799" s="1" t="s">
        <v>5</v>
      </c>
      <c r="E799" s="2">
        <v>42300.457638888889</v>
      </c>
      <c r="F799" s="1" t="s">
        <v>6</v>
      </c>
      <c r="G799" s="1">
        <v>214993</v>
      </c>
      <c r="H799" s="1">
        <v>40</v>
      </c>
      <c r="I799" s="1" t="s">
        <v>82</v>
      </c>
      <c r="J799" s="1">
        <f>+Table2[[#This Row],[Ventas]]/Table2[[#This Row],[Cantidad]]</f>
        <v>5374.8249999999998</v>
      </c>
      <c r="K799" s="1" t="str">
        <f>+_xlfn.IFS(Table2[[#This Row],[Ventas]]&gt;200000,"Alta", Table2[[#This Row],[Ventas]]&gt;100000,"Media",TRUE,"Bajo")</f>
        <v>Alta</v>
      </c>
    </row>
    <row r="800" spans="1:11" x14ac:dyDescent="0.25">
      <c r="A800" s="1" t="s">
        <v>101</v>
      </c>
      <c r="B800" s="1" t="s">
        <v>30</v>
      </c>
      <c r="C800" s="1" t="s">
        <v>86</v>
      </c>
      <c r="D800" s="1" t="s">
        <v>9</v>
      </c>
      <c r="E800" s="2">
        <v>42308.457638888889</v>
      </c>
      <c r="F800" s="1" t="s">
        <v>6</v>
      </c>
      <c r="G800" s="1">
        <v>219452</v>
      </c>
      <c r="H800" s="1">
        <v>15</v>
      </c>
      <c r="I800" s="1" t="s">
        <v>81</v>
      </c>
      <c r="J800" s="1">
        <f>+Table2[[#This Row],[Ventas]]/Table2[[#This Row],[Cantidad]]</f>
        <v>14630.133333333333</v>
      </c>
      <c r="K800" s="1" t="str">
        <f>+_xlfn.IFS(Table2[[#This Row],[Ventas]]&gt;200000,"Alta", Table2[[#This Row],[Ventas]]&gt;100000,"Media",TRUE,"Bajo")</f>
        <v>Alta</v>
      </c>
    </row>
    <row r="801" spans="1:11" x14ac:dyDescent="0.25">
      <c r="A801" s="1" t="s">
        <v>102</v>
      </c>
      <c r="B801" s="1" t="s">
        <v>144</v>
      </c>
      <c r="C801" s="1" t="s">
        <v>85</v>
      </c>
      <c r="D801" s="1" t="s">
        <v>5</v>
      </c>
      <c r="E801" s="2">
        <v>42298.457638888889</v>
      </c>
      <c r="F801" s="1" t="s">
        <v>6</v>
      </c>
      <c r="G801" s="1">
        <v>188855</v>
      </c>
      <c r="H801" s="1">
        <v>23</v>
      </c>
      <c r="I801" s="1" t="s">
        <v>82</v>
      </c>
      <c r="J801" s="1">
        <f>+Table2[[#This Row],[Ventas]]/Table2[[#This Row],[Cantidad]]</f>
        <v>8211.0869565217399</v>
      </c>
      <c r="K801" s="1" t="str">
        <f>+_xlfn.IFS(Table2[[#This Row],[Ventas]]&gt;200000,"Alta", Table2[[#This Row],[Ventas]]&gt;100000,"Media",TRUE,"Bajo")</f>
        <v>Media</v>
      </c>
    </row>
    <row r="802" spans="1:11" x14ac:dyDescent="0.25">
      <c r="A802" s="1" t="s">
        <v>102</v>
      </c>
      <c r="B802" s="1" t="s">
        <v>59</v>
      </c>
      <c r="C802" s="1" t="s">
        <v>91</v>
      </c>
      <c r="D802" s="1" t="s">
        <v>9</v>
      </c>
      <c r="E802" s="2">
        <v>42307.457638888889</v>
      </c>
      <c r="F802" s="1" t="s">
        <v>10</v>
      </c>
      <c r="G802" s="1">
        <v>147550</v>
      </c>
      <c r="H802" s="1">
        <v>16</v>
      </c>
      <c r="I802" s="1" t="s">
        <v>79</v>
      </c>
      <c r="J802" s="1">
        <f>+Table2[[#This Row],[Ventas]]/Table2[[#This Row],[Cantidad]]</f>
        <v>9221.875</v>
      </c>
      <c r="K802" s="1" t="str">
        <f>+_xlfn.IFS(Table2[[#This Row],[Ventas]]&gt;200000,"Alta", Table2[[#This Row],[Ventas]]&gt;100000,"Media",TRUE,"Bajo")</f>
        <v>Media</v>
      </c>
    </row>
    <row r="803" spans="1:11" x14ac:dyDescent="0.25">
      <c r="A803" s="1" t="s">
        <v>102</v>
      </c>
      <c r="B803" s="1" t="s">
        <v>59</v>
      </c>
      <c r="C803" s="1" t="s">
        <v>91</v>
      </c>
      <c r="D803" s="1" t="s">
        <v>9</v>
      </c>
      <c r="E803" s="2">
        <v>42307.457638888889</v>
      </c>
      <c r="F803" s="1" t="s">
        <v>10</v>
      </c>
      <c r="G803" s="1">
        <v>196803</v>
      </c>
      <c r="H803" s="1">
        <v>20</v>
      </c>
      <c r="I803" s="1" t="s">
        <v>79</v>
      </c>
      <c r="J803" s="1">
        <f>+Table2[[#This Row],[Ventas]]/Table2[[#This Row],[Cantidad]]</f>
        <v>9840.15</v>
      </c>
      <c r="K803" s="1" t="str">
        <f>+_xlfn.IFS(Table2[[#This Row],[Ventas]]&gt;200000,"Alta", Table2[[#This Row],[Ventas]]&gt;100000,"Media",TRUE,"Bajo")</f>
        <v>Media</v>
      </c>
    </row>
    <row r="804" spans="1:11" x14ac:dyDescent="0.25">
      <c r="A804" s="1" t="s">
        <v>102</v>
      </c>
      <c r="B804" s="1" t="s">
        <v>133</v>
      </c>
      <c r="C804" s="1" t="s">
        <v>86</v>
      </c>
      <c r="D804" s="1" t="s">
        <v>5</v>
      </c>
      <c r="E804" s="2">
        <v>42307.457638888889</v>
      </c>
      <c r="F804" s="1" t="s">
        <v>6</v>
      </c>
      <c r="G804" s="1">
        <v>64333</v>
      </c>
      <c r="H804" s="1">
        <v>16</v>
      </c>
      <c r="I804" s="1" t="s">
        <v>82</v>
      </c>
      <c r="J804" s="1">
        <f>+Table2[[#This Row],[Ventas]]/Table2[[#This Row],[Cantidad]]</f>
        <v>4020.8125</v>
      </c>
      <c r="K804" s="1" t="str">
        <f>+_xlfn.IFS(Table2[[#This Row],[Ventas]]&gt;200000,"Alta", Table2[[#This Row],[Ventas]]&gt;100000,"Media",TRUE,"Bajo")</f>
        <v>Bajo</v>
      </c>
    </row>
    <row r="805" spans="1:11" x14ac:dyDescent="0.25">
      <c r="A805" s="1" t="s">
        <v>102</v>
      </c>
      <c r="B805" s="1" t="s">
        <v>59</v>
      </c>
      <c r="C805" s="1" t="s">
        <v>91</v>
      </c>
      <c r="D805" s="1" t="s">
        <v>9</v>
      </c>
      <c r="E805" s="2">
        <v>42307.457638888889</v>
      </c>
      <c r="F805" s="1" t="s">
        <v>10</v>
      </c>
      <c r="G805" s="1">
        <v>96521</v>
      </c>
      <c r="H805" s="1">
        <v>24</v>
      </c>
      <c r="I805" s="1" t="s">
        <v>81</v>
      </c>
      <c r="J805" s="1">
        <f>+Table2[[#This Row],[Ventas]]/Table2[[#This Row],[Cantidad]]</f>
        <v>4021.7083333333335</v>
      </c>
      <c r="K805" s="1" t="str">
        <f>+_xlfn.IFS(Table2[[#This Row],[Ventas]]&gt;200000,"Alta", Table2[[#This Row],[Ventas]]&gt;100000,"Media",TRUE,"Bajo")</f>
        <v>Bajo</v>
      </c>
    </row>
    <row r="806" spans="1:11" x14ac:dyDescent="0.25">
      <c r="A806" s="1" t="s">
        <v>102</v>
      </c>
      <c r="B806" s="1" t="s">
        <v>59</v>
      </c>
      <c r="C806" s="1" t="s">
        <v>91</v>
      </c>
      <c r="D806" s="1" t="s">
        <v>9</v>
      </c>
      <c r="E806" s="2">
        <v>42307.457638888889</v>
      </c>
      <c r="F806" s="1" t="s">
        <v>10</v>
      </c>
      <c r="G806" s="1">
        <v>174277</v>
      </c>
      <c r="H806" s="1">
        <v>38</v>
      </c>
      <c r="I806" s="1" t="s">
        <v>80</v>
      </c>
      <c r="J806" s="1">
        <f>+Table2[[#This Row],[Ventas]]/Table2[[#This Row],[Cantidad]]</f>
        <v>4586.2368421052633</v>
      </c>
      <c r="K806" s="1" t="str">
        <f>+_xlfn.IFS(Table2[[#This Row],[Ventas]]&gt;200000,"Alta", Table2[[#This Row],[Ventas]]&gt;100000,"Media",TRUE,"Bajo")</f>
        <v>Media</v>
      </c>
    </row>
    <row r="807" spans="1:11" x14ac:dyDescent="0.25">
      <c r="A807" s="1" t="s">
        <v>102</v>
      </c>
      <c r="B807" s="1" t="s">
        <v>147</v>
      </c>
      <c r="C807" s="1" t="s">
        <v>89</v>
      </c>
      <c r="D807" s="1" t="s">
        <v>9</v>
      </c>
      <c r="E807" s="2">
        <v>42278.457638888889</v>
      </c>
      <c r="F807" s="1" t="s">
        <v>6</v>
      </c>
      <c r="G807" s="1">
        <v>52880</v>
      </c>
      <c r="H807" s="1">
        <v>38</v>
      </c>
      <c r="I807" s="1" t="s">
        <v>81</v>
      </c>
      <c r="J807" s="1">
        <f>+Table2[[#This Row],[Ventas]]/Table2[[#This Row],[Cantidad]]</f>
        <v>1391.578947368421</v>
      </c>
      <c r="K807" s="1" t="str">
        <f>+_xlfn.IFS(Table2[[#This Row],[Ventas]]&gt;200000,"Alta", Table2[[#This Row],[Ventas]]&gt;100000,"Media",TRUE,"Bajo")</f>
        <v>Bajo</v>
      </c>
    </row>
    <row r="808" spans="1:11" x14ac:dyDescent="0.25">
      <c r="A808" s="1" t="s">
        <v>102</v>
      </c>
      <c r="B808" s="1" t="s">
        <v>122</v>
      </c>
      <c r="C808" s="1" t="s">
        <v>92</v>
      </c>
      <c r="D808" s="1" t="s">
        <v>5</v>
      </c>
      <c r="E808" s="2">
        <v>42300.457638888889</v>
      </c>
      <c r="F808" s="1" t="s">
        <v>6</v>
      </c>
      <c r="G808" s="1">
        <v>208373</v>
      </c>
      <c r="H808" s="1">
        <v>20</v>
      </c>
      <c r="I808" s="1" t="s">
        <v>93</v>
      </c>
      <c r="J808" s="1">
        <f>+Table2[[#This Row],[Ventas]]/Table2[[#This Row],[Cantidad]]</f>
        <v>10418.65</v>
      </c>
      <c r="K808" s="1" t="str">
        <f>+_xlfn.IFS(Table2[[#This Row],[Ventas]]&gt;200000,"Alta", Table2[[#This Row],[Ventas]]&gt;100000,"Media",TRUE,"Bajo")</f>
        <v>Alta</v>
      </c>
    </row>
    <row r="809" spans="1:11" x14ac:dyDescent="0.25">
      <c r="A809" s="1" t="s">
        <v>102</v>
      </c>
      <c r="B809" s="1" t="s">
        <v>114</v>
      </c>
      <c r="C809" s="1" t="s">
        <v>92</v>
      </c>
      <c r="D809" s="1" t="s">
        <v>5</v>
      </c>
      <c r="E809" s="2">
        <v>42306.457638888889</v>
      </c>
      <c r="F809" s="1" t="s">
        <v>6</v>
      </c>
      <c r="G809" s="1">
        <v>88986</v>
      </c>
      <c r="H809" s="1">
        <v>33</v>
      </c>
      <c r="I809" s="1" t="s">
        <v>79</v>
      </c>
      <c r="J809" s="1">
        <f>+Table2[[#This Row],[Ventas]]/Table2[[#This Row],[Cantidad]]</f>
        <v>2696.5454545454545</v>
      </c>
      <c r="K809" s="1" t="str">
        <f>+_xlfn.IFS(Table2[[#This Row],[Ventas]]&gt;200000,"Alta", Table2[[#This Row],[Ventas]]&gt;100000,"Media",TRUE,"Bajo")</f>
        <v>Bajo</v>
      </c>
    </row>
    <row r="810" spans="1:11" x14ac:dyDescent="0.25">
      <c r="A810" s="1" t="s">
        <v>102</v>
      </c>
      <c r="B810" s="1" t="s">
        <v>121</v>
      </c>
      <c r="C810" s="1" t="s">
        <v>92</v>
      </c>
      <c r="D810" s="1" t="s">
        <v>5</v>
      </c>
      <c r="E810" s="2">
        <v>42300.457638888889</v>
      </c>
      <c r="F810" s="1" t="s">
        <v>6</v>
      </c>
      <c r="G810" s="1">
        <v>240673</v>
      </c>
      <c r="H810" s="1">
        <v>22</v>
      </c>
      <c r="I810" s="1" t="s">
        <v>80</v>
      </c>
      <c r="J810" s="1">
        <f>+Table2[[#This Row],[Ventas]]/Table2[[#This Row],[Cantidad]]</f>
        <v>10939.681818181818</v>
      </c>
      <c r="K810" s="1" t="str">
        <f>+_xlfn.IFS(Table2[[#This Row],[Ventas]]&gt;200000,"Alta", Table2[[#This Row],[Ventas]]&gt;100000,"Media",TRUE,"Bajo")</f>
        <v>Alta</v>
      </c>
    </row>
    <row r="811" spans="1:11" x14ac:dyDescent="0.25">
      <c r="A811" s="1" t="s">
        <v>95</v>
      </c>
      <c r="B811" s="1" t="s">
        <v>119</v>
      </c>
      <c r="C811" s="1" t="s">
        <v>87</v>
      </c>
      <c r="D811" s="1" t="s">
        <v>9</v>
      </c>
      <c r="E811" s="2">
        <v>42277.457638888889</v>
      </c>
      <c r="F811" s="1" t="s">
        <v>6</v>
      </c>
      <c r="G811" s="1">
        <v>115114</v>
      </c>
      <c r="H811" s="1">
        <v>18</v>
      </c>
      <c r="I811" s="1" t="s">
        <v>81</v>
      </c>
      <c r="J811" s="1">
        <f>+Table2[[#This Row],[Ventas]]/Table2[[#This Row],[Cantidad]]</f>
        <v>6395.2222222222226</v>
      </c>
      <c r="K811" s="1" t="str">
        <f>+_xlfn.IFS(Table2[[#This Row],[Ventas]]&gt;200000,"Alta", Table2[[#This Row],[Ventas]]&gt;100000,"Media",TRUE,"Bajo")</f>
        <v>Media</v>
      </c>
    </row>
    <row r="812" spans="1:11" x14ac:dyDescent="0.25">
      <c r="A812" s="1" t="s">
        <v>95</v>
      </c>
      <c r="B812" s="1" t="s">
        <v>125</v>
      </c>
      <c r="C812" s="1" t="s">
        <v>87</v>
      </c>
      <c r="D812" s="1" t="s">
        <v>9</v>
      </c>
      <c r="E812" s="2">
        <v>42277.457638888889</v>
      </c>
      <c r="F812" s="1" t="s">
        <v>7</v>
      </c>
      <c r="G812" s="1">
        <v>103657</v>
      </c>
      <c r="H812" s="1">
        <v>40</v>
      </c>
      <c r="I812" s="1" t="s">
        <v>82</v>
      </c>
      <c r="J812" s="1">
        <f>+Table2[[#This Row],[Ventas]]/Table2[[#This Row],[Cantidad]]</f>
        <v>2591.4250000000002</v>
      </c>
      <c r="K812" s="1" t="str">
        <f>+_xlfn.IFS(Table2[[#This Row],[Ventas]]&gt;200000,"Alta", Table2[[#This Row],[Ventas]]&gt;100000,"Media",TRUE,"Bajo")</f>
        <v>Media</v>
      </c>
    </row>
    <row r="813" spans="1:11" x14ac:dyDescent="0.25">
      <c r="A813" s="1" t="s">
        <v>96</v>
      </c>
      <c r="B813" s="1" t="s">
        <v>124</v>
      </c>
      <c r="C813" s="1" t="s">
        <v>92</v>
      </c>
      <c r="D813" s="1" t="s">
        <v>5</v>
      </c>
      <c r="E813" s="2">
        <v>42277.457638888889</v>
      </c>
      <c r="F813" s="1" t="s">
        <v>7</v>
      </c>
      <c r="G813" s="1">
        <v>190412</v>
      </c>
      <c r="H813" s="1">
        <v>41</v>
      </c>
      <c r="I813" s="1" t="s">
        <v>79</v>
      </c>
      <c r="J813" s="1">
        <f>+Table2[[#This Row],[Ventas]]/Table2[[#This Row],[Cantidad]]</f>
        <v>4644.1951219512193</v>
      </c>
      <c r="K813" s="1" t="str">
        <f>+_xlfn.IFS(Table2[[#This Row],[Ventas]]&gt;200000,"Alta", Table2[[#This Row],[Ventas]]&gt;100000,"Media",TRUE,"Bajo")</f>
        <v>Media</v>
      </c>
    </row>
    <row r="814" spans="1:11" x14ac:dyDescent="0.25">
      <c r="A814" s="1" t="s">
        <v>96</v>
      </c>
      <c r="B814" s="1" t="s">
        <v>37</v>
      </c>
      <c r="C814" s="1" t="s">
        <v>91</v>
      </c>
      <c r="D814" s="1" t="s">
        <v>9</v>
      </c>
      <c r="E814" s="2">
        <v>42277.457638888889</v>
      </c>
      <c r="F814" s="1" t="s">
        <v>6</v>
      </c>
      <c r="G814" s="1">
        <v>105612</v>
      </c>
      <c r="H814" s="1">
        <v>17</v>
      </c>
      <c r="I814" s="1" t="s">
        <v>80</v>
      </c>
      <c r="J814" s="1">
        <f>+Table2[[#This Row],[Ventas]]/Table2[[#This Row],[Cantidad]]</f>
        <v>6212.4705882352937</v>
      </c>
      <c r="K814" s="1" t="str">
        <f>+_xlfn.IFS(Table2[[#This Row],[Ventas]]&gt;200000,"Alta", Table2[[#This Row],[Ventas]]&gt;100000,"Media",TRUE,"Bajo")</f>
        <v>Media</v>
      </c>
    </row>
    <row r="815" spans="1:11" x14ac:dyDescent="0.25">
      <c r="A815" s="1" t="s">
        <v>96</v>
      </c>
      <c r="B815" s="1" t="s">
        <v>149</v>
      </c>
      <c r="C815" s="1" t="s">
        <v>91</v>
      </c>
      <c r="D815" s="1" t="s">
        <v>9</v>
      </c>
      <c r="E815" s="2">
        <v>42277.457638888889</v>
      </c>
      <c r="F815" s="1" t="s">
        <v>6</v>
      </c>
      <c r="G815" s="1">
        <v>95576</v>
      </c>
      <c r="H815" s="1">
        <v>19</v>
      </c>
      <c r="I815" s="1" t="s">
        <v>82</v>
      </c>
      <c r="J815" s="1">
        <f>+Table2[[#This Row],[Ventas]]/Table2[[#This Row],[Cantidad]]</f>
        <v>5030.3157894736842</v>
      </c>
      <c r="K815" s="1" t="str">
        <f>+_xlfn.IFS(Table2[[#This Row],[Ventas]]&gt;200000,"Alta", Table2[[#This Row],[Ventas]]&gt;100000,"Media",TRUE,"Bajo")</f>
        <v>Bajo</v>
      </c>
    </row>
    <row r="816" spans="1:11" x14ac:dyDescent="0.25">
      <c r="A816" s="1" t="s">
        <v>96</v>
      </c>
      <c r="B816" s="1" t="s">
        <v>141</v>
      </c>
      <c r="C816" s="1" t="s">
        <v>86</v>
      </c>
      <c r="D816" s="1" t="s">
        <v>5</v>
      </c>
      <c r="E816" s="2">
        <v>42262.457638888889</v>
      </c>
      <c r="F816" s="1" t="s">
        <v>7</v>
      </c>
      <c r="G816" s="1">
        <v>204578</v>
      </c>
      <c r="H816" s="1">
        <v>22</v>
      </c>
      <c r="I816" s="1" t="s">
        <v>82</v>
      </c>
      <c r="J816" s="1">
        <f>+Table2[[#This Row],[Ventas]]/Table2[[#This Row],[Cantidad]]</f>
        <v>9299</v>
      </c>
      <c r="K816" s="1" t="str">
        <f>+_xlfn.IFS(Table2[[#This Row],[Ventas]]&gt;200000,"Alta", Table2[[#This Row],[Ventas]]&gt;100000,"Media",TRUE,"Bajo")</f>
        <v>Alta</v>
      </c>
    </row>
    <row r="817" spans="1:11" x14ac:dyDescent="0.25">
      <c r="A817" s="1" t="s">
        <v>96</v>
      </c>
      <c r="B817" s="1" t="s">
        <v>142</v>
      </c>
      <c r="C817" s="1" t="s">
        <v>88</v>
      </c>
      <c r="D817" s="1" t="s">
        <v>9</v>
      </c>
      <c r="E817" s="2">
        <v>42277.457638888889</v>
      </c>
      <c r="F817" s="1" t="s">
        <v>6</v>
      </c>
      <c r="G817" s="1">
        <v>132888</v>
      </c>
      <c r="H817" s="1">
        <v>16</v>
      </c>
      <c r="I817" s="1" t="s">
        <v>80</v>
      </c>
      <c r="J817" s="1">
        <f>+Table2[[#This Row],[Ventas]]/Table2[[#This Row],[Cantidad]]</f>
        <v>8305.5</v>
      </c>
      <c r="K817" s="1" t="str">
        <f>+_xlfn.IFS(Table2[[#This Row],[Ventas]]&gt;200000,"Alta", Table2[[#This Row],[Ventas]]&gt;100000,"Media",TRUE,"Bajo")</f>
        <v>Media</v>
      </c>
    </row>
    <row r="818" spans="1:11" x14ac:dyDescent="0.25">
      <c r="A818" s="1" t="s">
        <v>96</v>
      </c>
      <c r="B818" s="1" t="s">
        <v>4</v>
      </c>
      <c r="C818" s="1" t="s">
        <v>88</v>
      </c>
      <c r="D818" s="1" t="s">
        <v>9</v>
      </c>
      <c r="E818" s="2">
        <v>42277.457638888889</v>
      </c>
      <c r="F818" s="1" t="s">
        <v>6</v>
      </c>
      <c r="G818" s="1">
        <v>170772</v>
      </c>
      <c r="H818" s="1">
        <v>25</v>
      </c>
      <c r="I818" s="1" t="s">
        <v>81</v>
      </c>
      <c r="J818" s="1">
        <f>+Table2[[#This Row],[Ventas]]/Table2[[#This Row],[Cantidad]]</f>
        <v>6830.88</v>
      </c>
      <c r="K818" s="1" t="str">
        <f>+_xlfn.IFS(Table2[[#This Row],[Ventas]]&gt;200000,"Alta", Table2[[#This Row],[Ventas]]&gt;100000,"Media",TRUE,"Bajo")</f>
        <v>Media</v>
      </c>
    </row>
    <row r="819" spans="1:11" x14ac:dyDescent="0.25">
      <c r="A819" s="1" t="s">
        <v>96</v>
      </c>
      <c r="B819" s="1" t="s">
        <v>63</v>
      </c>
      <c r="C819" s="1" t="s">
        <v>91</v>
      </c>
      <c r="D819" s="1" t="s">
        <v>9</v>
      </c>
      <c r="E819" s="2">
        <v>42264.457638888889</v>
      </c>
      <c r="F819" s="1" t="s">
        <v>6</v>
      </c>
      <c r="G819" s="1">
        <v>223804</v>
      </c>
      <c r="H819" s="1">
        <v>15</v>
      </c>
      <c r="I819" s="1" t="s">
        <v>79</v>
      </c>
      <c r="J819" s="1">
        <f>+Table2[[#This Row],[Ventas]]/Table2[[#This Row],[Cantidad]]</f>
        <v>14920.266666666666</v>
      </c>
      <c r="K819" s="1" t="str">
        <f>+_xlfn.IFS(Table2[[#This Row],[Ventas]]&gt;200000,"Alta", Table2[[#This Row],[Ventas]]&gt;100000,"Media",TRUE,"Bajo")</f>
        <v>Alta</v>
      </c>
    </row>
    <row r="820" spans="1:11" x14ac:dyDescent="0.25">
      <c r="A820" s="1" t="s">
        <v>96</v>
      </c>
      <c r="B820" s="1" t="s">
        <v>63</v>
      </c>
      <c r="C820" s="1" t="s">
        <v>91</v>
      </c>
      <c r="D820" s="1" t="s">
        <v>9</v>
      </c>
      <c r="E820" s="2">
        <v>42264.457638888889</v>
      </c>
      <c r="F820" s="1" t="s">
        <v>6</v>
      </c>
      <c r="G820" s="1">
        <v>65521</v>
      </c>
      <c r="H820" s="1">
        <v>26</v>
      </c>
      <c r="I820" s="1" t="s">
        <v>80</v>
      </c>
      <c r="J820" s="1">
        <f>+Table2[[#This Row],[Ventas]]/Table2[[#This Row],[Cantidad]]</f>
        <v>2520.0384615384614</v>
      </c>
      <c r="K820" s="1" t="str">
        <f>+_xlfn.IFS(Table2[[#This Row],[Ventas]]&gt;200000,"Alta", Table2[[#This Row],[Ventas]]&gt;100000,"Media",TRUE,"Bajo")</f>
        <v>Bajo</v>
      </c>
    </row>
    <row r="821" spans="1:11" x14ac:dyDescent="0.25">
      <c r="A821" s="1" t="s">
        <v>97</v>
      </c>
      <c r="B821" s="1" t="s">
        <v>46</v>
      </c>
      <c r="C821" s="1" t="s">
        <v>84</v>
      </c>
      <c r="D821" s="1" t="s">
        <v>5</v>
      </c>
      <c r="E821" s="2">
        <v>42277.457638888889</v>
      </c>
      <c r="F821" s="1" t="s">
        <v>6</v>
      </c>
      <c r="G821" s="1">
        <v>121684</v>
      </c>
      <c r="H821" s="1">
        <v>20</v>
      </c>
      <c r="I821" s="1" t="s">
        <v>81</v>
      </c>
      <c r="J821" s="1">
        <f>+Table2[[#This Row],[Ventas]]/Table2[[#This Row],[Cantidad]]</f>
        <v>6084.2</v>
      </c>
      <c r="K821" s="1" t="str">
        <f>+_xlfn.IFS(Table2[[#This Row],[Ventas]]&gt;200000,"Alta", Table2[[#This Row],[Ventas]]&gt;100000,"Media",TRUE,"Bajo")</f>
        <v>Media</v>
      </c>
    </row>
    <row r="822" spans="1:11" x14ac:dyDescent="0.25">
      <c r="A822" s="1" t="s">
        <v>97</v>
      </c>
      <c r="B822" s="1" t="s">
        <v>141</v>
      </c>
      <c r="C822" s="1" t="s">
        <v>86</v>
      </c>
      <c r="D822" s="1" t="s">
        <v>5</v>
      </c>
      <c r="E822" s="2">
        <v>42262.457638888889</v>
      </c>
      <c r="F822" s="1" t="s">
        <v>7</v>
      </c>
      <c r="G822" s="1">
        <v>223849</v>
      </c>
      <c r="H822" s="1">
        <v>15</v>
      </c>
      <c r="I822" s="1" t="s">
        <v>79</v>
      </c>
      <c r="J822" s="1">
        <f>+Table2[[#This Row],[Ventas]]/Table2[[#This Row],[Cantidad]]</f>
        <v>14923.266666666666</v>
      </c>
      <c r="K822" s="1" t="str">
        <f>+_xlfn.IFS(Table2[[#This Row],[Ventas]]&gt;200000,"Alta", Table2[[#This Row],[Ventas]]&gt;100000,"Media",TRUE,"Bajo")</f>
        <v>Alta</v>
      </c>
    </row>
    <row r="823" spans="1:11" x14ac:dyDescent="0.25">
      <c r="A823" s="1" t="s">
        <v>97</v>
      </c>
      <c r="B823" s="1" t="s">
        <v>132</v>
      </c>
      <c r="C823" s="1" t="s">
        <v>87</v>
      </c>
      <c r="D823" s="1" t="s">
        <v>9</v>
      </c>
      <c r="E823" s="2">
        <v>42277.457638888889</v>
      </c>
      <c r="F823" s="1" t="s">
        <v>10</v>
      </c>
      <c r="G823" s="1">
        <v>179295</v>
      </c>
      <c r="H823" s="1">
        <v>33</v>
      </c>
      <c r="I823" s="1" t="s">
        <v>80</v>
      </c>
      <c r="J823" s="1">
        <f>+Table2[[#This Row],[Ventas]]/Table2[[#This Row],[Cantidad]]</f>
        <v>5433.181818181818</v>
      </c>
      <c r="K823" s="1" t="str">
        <f>+_xlfn.IFS(Table2[[#This Row],[Ventas]]&gt;200000,"Alta", Table2[[#This Row],[Ventas]]&gt;100000,"Media",TRUE,"Bajo")</f>
        <v>Media</v>
      </c>
    </row>
    <row r="824" spans="1:11" x14ac:dyDescent="0.25">
      <c r="A824" s="1" t="s">
        <v>97</v>
      </c>
      <c r="B824" s="1" t="s">
        <v>121</v>
      </c>
      <c r="C824" s="1" t="s">
        <v>92</v>
      </c>
      <c r="D824" s="1" t="s">
        <v>5</v>
      </c>
      <c r="E824" s="2">
        <v>42277.457638888889</v>
      </c>
      <c r="F824" s="1" t="s">
        <v>6</v>
      </c>
      <c r="G824" s="1">
        <v>233181</v>
      </c>
      <c r="H824" s="1">
        <v>19</v>
      </c>
      <c r="I824" s="1" t="s">
        <v>82</v>
      </c>
      <c r="J824" s="1">
        <f>+Table2[[#This Row],[Ventas]]/Table2[[#This Row],[Cantidad]]</f>
        <v>12272.684210526315</v>
      </c>
      <c r="K824" s="1" t="str">
        <f>+_xlfn.IFS(Table2[[#This Row],[Ventas]]&gt;200000,"Alta", Table2[[#This Row],[Ventas]]&gt;100000,"Media",TRUE,"Bajo")</f>
        <v>Alta</v>
      </c>
    </row>
    <row r="825" spans="1:11" x14ac:dyDescent="0.25">
      <c r="A825" s="1" t="s">
        <v>97</v>
      </c>
      <c r="B825" s="1" t="s">
        <v>24</v>
      </c>
      <c r="C825" s="1" t="s">
        <v>92</v>
      </c>
      <c r="D825" s="1" t="s">
        <v>5</v>
      </c>
      <c r="E825" s="2">
        <v>42277.457638888889</v>
      </c>
      <c r="F825" s="1" t="s">
        <v>6</v>
      </c>
      <c r="G825" s="1">
        <v>161549</v>
      </c>
      <c r="H825" s="1">
        <v>32</v>
      </c>
      <c r="I825" s="1" t="s">
        <v>79</v>
      </c>
      <c r="J825" s="1">
        <f>+Table2[[#This Row],[Ventas]]/Table2[[#This Row],[Cantidad]]</f>
        <v>5048.40625</v>
      </c>
      <c r="K825" s="1" t="str">
        <f>+_xlfn.IFS(Table2[[#This Row],[Ventas]]&gt;200000,"Alta", Table2[[#This Row],[Ventas]]&gt;100000,"Media",TRUE,"Bajo")</f>
        <v>Media</v>
      </c>
    </row>
    <row r="826" spans="1:11" x14ac:dyDescent="0.25">
      <c r="A826" s="1" t="s">
        <v>97</v>
      </c>
      <c r="B826" s="1" t="s">
        <v>28</v>
      </c>
      <c r="C826" s="1" t="s">
        <v>87</v>
      </c>
      <c r="D826" s="1" t="s">
        <v>9</v>
      </c>
      <c r="E826" s="2">
        <v>42269.457638888889</v>
      </c>
      <c r="F826" s="1" t="s">
        <v>7</v>
      </c>
      <c r="G826" s="1">
        <v>132445</v>
      </c>
      <c r="H826" s="1">
        <v>26</v>
      </c>
      <c r="I826" s="1" t="s">
        <v>82</v>
      </c>
      <c r="J826" s="1">
        <f>+Table2[[#This Row],[Ventas]]/Table2[[#This Row],[Cantidad]]</f>
        <v>5094.0384615384619</v>
      </c>
      <c r="K826" s="1" t="str">
        <f>+_xlfn.IFS(Table2[[#This Row],[Ventas]]&gt;200000,"Alta", Table2[[#This Row],[Ventas]]&gt;100000,"Media",TRUE,"Bajo")</f>
        <v>Media</v>
      </c>
    </row>
    <row r="827" spans="1:11" x14ac:dyDescent="0.25">
      <c r="A827" s="1" t="s">
        <v>97</v>
      </c>
      <c r="B827" s="1" t="s">
        <v>4</v>
      </c>
      <c r="C827" s="1" t="s">
        <v>88</v>
      </c>
      <c r="D827" s="1" t="s">
        <v>9</v>
      </c>
      <c r="E827" s="2">
        <v>42277.457638888889</v>
      </c>
      <c r="F827" s="1" t="s">
        <v>6</v>
      </c>
      <c r="G827" s="1">
        <v>236889</v>
      </c>
      <c r="H827" s="1">
        <v>30</v>
      </c>
      <c r="I827" s="1" t="s">
        <v>80</v>
      </c>
      <c r="J827" s="1">
        <f>+Table2[[#This Row],[Ventas]]/Table2[[#This Row],[Cantidad]]</f>
        <v>7896.3</v>
      </c>
      <c r="K827" s="1" t="str">
        <f>+_xlfn.IFS(Table2[[#This Row],[Ventas]]&gt;200000,"Alta", Table2[[#This Row],[Ventas]]&gt;100000,"Media",TRUE,"Bajo")</f>
        <v>Alta</v>
      </c>
    </row>
    <row r="828" spans="1:11" x14ac:dyDescent="0.25">
      <c r="A828" s="1" t="s">
        <v>97</v>
      </c>
      <c r="B828" s="1" t="s">
        <v>125</v>
      </c>
      <c r="C828" s="1" t="s">
        <v>88</v>
      </c>
      <c r="D828" s="1" t="s">
        <v>9</v>
      </c>
      <c r="E828" s="2">
        <v>42270.457638888889</v>
      </c>
      <c r="F828" s="1" t="s">
        <v>7</v>
      </c>
      <c r="G828" s="1">
        <v>143753</v>
      </c>
      <c r="H828" s="1">
        <v>32</v>
      </c>
      <c r="I828" s="1" t="s">
        <v>81</v>
      </c>
      <c r="J828" s="1">
        <f>+Table2[[#This Row],[Ventas]]/Table2[[#This Row],[Cantidad]]</f>
        <v>4492.28125</v>
      </c>
      <c r="K828" s="1" t="str">
        <f>+_xlfn.IFS(Table2[[#This Row],[Ventas]]&gt;200000,"Alta", Table2[[#This Row],[Ventas]]&gt;100000,"Media",TRUE,"Bajo")</f>
        <v>Media</v>
      </c>
    </row>
    <row r="829" spans="1:11" x14ac:dyDescent="0.25">
      <c r="A829" s="1" t="s">
        <v>97</v>
      </c>
      <c r="B829" s="1" t="s">
        <v>142</v>
      </c>
      <c r="C829" s="1" t="s">
        <v>88</v>
      </c>
      <c r="D829" s="1" t="s">
        <v>9</v>
      </c>
      <c r="E829" s="2">
        <v>42263.457638888889</v>
      </c>
      <c r="F829" s="1" t="s">
        <v>6</v>
      </c>
      <c r="G829" s="1">
        <v>55401</v>
      </c>
      <c r="H829" s="1">
        <v>22</v>
      </c>
      <c r="I829" s="1" t="s">
        <v>81</v>
      </c>
      <c r="J829" s="1">
        <f>+Table2[[#This Row],[Ventas]]/Table2[[#This Row],[Cantidad]]</f>
        <v>2518.2272727272725</v>
      </c>
      <c r="K829" s="1" t="str">
        <f>+_xlfn.IFS(Table2[[#This Row],[Ventas]]&gt;200000,"Alta", Table2[[#This Row],[Ventas]]&gt;100000,"Media",TRUE,"Bajo")</f>
        <v>Bajo</v>
      </c>
    </row>
    <row r="830" spans="1:11" x14ac:dyDescent="0.25">
      <c r="A830" s="1" t="s">
        <v>97</v>
      </c>
      <c r="B830" s="1" t="s">
        <v>28</v>
      </c>
      <c r="C830" s="1" t="s">
        <v>88</v>
      </c>
      <c r="D830" s="1" t="s">
        <v>9</v>
      </c>
      <c r="E830" s="2">
        <v>42277.457638888889</v>
      </c>
      <c r="F830" s="1" t="s">
        <v>6</v>
      </c>
      <c r="G830" s="1">
        <v>152333</v>
      </c>
      <c r="H830" s="1">
        <v>32</v>
      </c>
      <c r="I830" s="1" t="s">
        <v>79</v>
      </c>
      <c r="J830" s="1">
        <f>+Table2[[#This Row],[Ventas]]/Table2[[#This Row],[Cantidad]]</f>
        <v>4760.40625</v>
      </c>
      <c r="K830" s="1" t="str">
        <f>+_xlfn.IFS(Table2[[#This Row],[Ventas]]&gt;200000,"Alta", Table2[[#This Row],[Ventas]]&gt;100000,"Media",TRUE,"Bajo")</f>
        <v>Media</v>
      </c>
    </row>
    <row r="831" spans="1:11" x14ac:dyDescent="0.25">
      <c r="A831" s="1" t="s">
        <v>98</v>
      </c>
      <c r="B831" s="1" t="s">
        <v>43</v>
      </c>
      <c r="C831" s="1" t="s">
        <v>87</v>
      </c>
      <c r="D831" s="1" t="s">
        <v>9</v>
      </c>
      <c r="E831" s="2">
        <v>42262.457638888889</v>
      </c>
      <c r="F831" s="1" t="s">
        <v>6</v>
      </c>
      <c r="G831" s="1">
        <v>238115</v>
      </c>
      <c r="H831" s="1">
        <v>38</v>
      </c>
      <c r="I831" s="1" t="s">
        <v>80</v>
      </c>
      <c r="J831" s="1">
        <f>+Table2[[#This Row],[Ventas]]/Table2[[#This Row],[Cantidad]]</f>
        <v>6266.1842105263158</v>
      </c>
      <c r="K831" s="1" t="str">
        <f>+_xlfn.IFS(Table2[[#This Row],[Ventas]]&gt;200000,"Alta", Table2[[#This Row],[Ventas]]&gt;100000,"Media",TRUE,"Bajo")</f>
        <v>Alta</v>
      </c>
    </row>
    <row r="832" spans="1:11" x14ac:dyDescent="0.25">
      <c r="A832" s="1" t="s">
        <v>98</v>
      </c>
      <c r="B832" s="1" t="s">
        <v>123</v>
      </c>
      <c r="C832" s="1" t="s">
        <v>91</v>
      </c>
      <c r="D832" s="1" t="s">
        <v>9</v>
      </c>
      <c r="E832" s="2">
        <v>42248.457638888889</v>
      </c>
      <c r="F832" s="1" t="s">
        <v>6</v>
      </c>
      <c r="G832" s="1">
        <v>101717</v>
      </c>
      <c r="H832" s="1">
        <v>29</v>
      </c>
      <c r="I832" s="1" t="s">
        <v>79</v>
      </c>
      <c r="J832" s="1">
        <f>+Table2[[#This Row],[Ventas]]/Table2[[#This Row],[Cantidad]]</f>
        <v>3507.4827586206898</v>
      </c>
      <c r="K832" s="1" t="str">
        <f>+_xlfn.IFS(Table2[[#This Row],[Ventas]]&gt;200000,"Alta", Table2[[#This Row],[Ventas]]&gt;100000,"Media",TRUE,"Bajo")</f>
        <v>Media</v>
      </c>
    </row>
    <row r="833" spans="1:11" x14ac:dyDescent="0.25">
      <c r="A833" s="1" t="s">
        <v>98</v>
      </c>
      <c r="B833" s="1" t="s">
        <v>109</v>
      </c>
      <c r="C833" s="1" t="s">
        <v>91</v>
      </c>
      <c r="D833" s="1" t="s">
        <v>9</v>
      </c>
      <c r="E833" s="2">
        <v>42271.457638888889</v>
      </c>
      <c r="F833" s="1" t="s">
        <v>6</v>
      </c>
      <c r="G833" s="1">
        <v>205856</v>
      </c>
      <c r="H833" s="1">
        <v>41</v>
      </c>
      <c r="I833" s="1" t="s">
        <v>80</v>
      </c>
      <c r="J833" s="1">
        <f>+Table2[[#This Row],[Ventas]]/Table2[[#This Row],[Cantidad]]</f>
        <v>5020.8780487804879</v>
      </c>
      <c r="K833" s="1" t="str">
        <f>+_xlfn.IFS(Table2[[#This Row],[Ventas]]&gt;200000,"Alta", Table2[[#This Row],[Ventas]]&gt;100000,"Media",TRUE,"Bajo")</f>
        <v>Alta</v>
      </c>
    </row>
    <row r="834" spans="1:11" x14ac:dyDescent="0.25">
      <c r="A834" s="1" t="s">
        <v>98</v>
      </c>
      <c r="B834" s="1" t="s">
        <v>141</v>
      </c>
      <c r="C834" s="1" t="s">
        <v>86</v>
      </c>
      <c r="D834" s="1" t="s">
        <v>5</v>
      </c>
      <c r="E834" s="2">
        <v>42262.457638888889</v>
      </c>
      <c r="F834" s="1" t="s">
        <v>7</v>
      </c>
      <c r="G834" s="1">
        <v>93389</v>
      </c>
      <c r="H834" s="1">
        <v>28</v>
      </c>
      <c r="I834" s="1" t="s">
        <v>79</v>
      </c>
      <c r="J834" s="1">
        <f>+Table2[[#This Row],[Ventas]]/Table2[[#This Row],[Cantidad]]</f>
        <v>3335.3214285714284</v>
      </c>
      <c r="K834" s="1" t="str">
        <f>+_xlfn.IFS(Table2[[#This Row],[Ventas]]&gt;200000,"Alta", Table2[[#This Row],[Ventas]]&gt;100000,"Media",TRUE,"Bajo")</f>
        <v>Bajo</v>
      </c>
    </row>
    <row r="835" spans="1:11" x14ac:dyDescent="0.25">
      <c r="A835" s="1" t="s">
        <v>98</v>
      </c>
      <c r="B835" s="1" t="s">
        <v>141</v>
      </c>
      <c r="C835" s="1" t="s">
        <v>86</v>
      </c>
      <c r="D835" s="1" t="s">
        <v>5</v>
      </c>
      <c r="E835" s="2">
        <v>42262.457638888889</v>
      </c>
      <c r="F835" s="1" t="s">
        <v>7</v>
      </c>
      <c r="G835" s="1">
        <v>160212</v>
      </c>
      <c r="H835" s="1">
        <v>21</v>
      </c>
      <c r="I835" s="1" t="s">
        <v>79</v>
      </c>
      <c r="J835" s="1">
        <f>+Table2[[#This Row],[Ventas]]/Table2[[#This Row],[Cantidad]]</f>
        <v>7629.1428571428569</v>
      </c>
      <c r="K835" s="1" t="str">
        <f>+_xlfn.IFS(Table2[[#This Row],[Ventas]]&gt;200000,"Alta", Table2[[#This Row],[Ventas]]&gt;100000,"Media",TRUE,"Bajo")</f>
        <v>Media</v>
      </c>
    </row>
    <row r="836" spans="1:11" x14ac:dyDescent="0.25">
      <c r="A836" s="1" t="s">
        <v>98</v>
      </c>
      <c r="B836" s="1" t="s">
        <v>141</v>
      </c>
      <c r="C836" s="1" t="s">
        <v>86</v>
      </c>
      <c r="D836" s="1" t="s">
        <v>5</v>
      </c>
      <c r="E836" s="2">
        <v>42262.457638888889</v>
      </c>
      <c r="F836" s="1" t="s">
        <v>7</v>
      </c>
      <c r="G836" s="1">
        <v>125180</v>
      </c>
      <c r="H836" s="1">
        <v>16</v>
      </c>
      <c r="I836" s="1" t="s">
        <v>81</v>
      </c>
      <c r="J836" s="1">
        <f>+Table2[[#This Row],[Ventas]]/Table2[[#This Row],[Cantidad]]</f>
        <v>7823.75</v>
      </c>
      <c r="K836" s="1" t="str">
        <f>+_xlfn.IFS(Table2[[#This Row],[Ventas]]&gt;200000,"Alta", Table2[[#This Row],[Ventas]]&gt;100000,"Media",TRUE,"Bajo")</f>
        <v>Media</v>
      </c>
    </row>
    <row r="837" spans="1:11" x14ac:dyDescent="0.25">
      <c r="A837" s="1" t="s">
        <v>98</v>
      </c>
      <c r="B837" s="1" t="s">
        <v>146</v>
      </c>
      <c r="C837" s="1" t="s">
        <v>89</v>
      </c>
      <c r="D837" s="1" t="s">
        <v>9</v>
      </c>
      <c r="E837" s="2">
        <v>42276.457638888889</v>
      </c>
      <c r="F837" s="1" t="s">
        <v>10</v>
      </c>
      <c r="G837" s="1">
        <v>145196</v>
      </c>
      <c r="H837" s="1">
        <v>30</v>
      </c>
      <c r="I837" s="1" t="s">
        <v>79</v>
      </c>
      <c r="J837" s="1">
        <f>+Table2[[#This Row],[Ventas]]/Table2[[#This Row],[Cantidad]]</f>
        <v>4839.8666666666668</v>
      </c>
      <c r="K837" s="1" t="str">
        <f>+_xlfn.IFS(Table2[[#This Row],[Ventas]]&gt;200000,"Alta", Table2[[#This Row],[Ventas]]&gt;100000,"Media",TRUE,"Bajo")</f>
        <v>Media</v>
      </c>
    </row>
    <row r="838" spans="1:11" x14ac:dyDescent="0.25">
      <c r="A838" s="1" t="s">
        <v>98</v>
      </c>
      <c r="B838" s="1" t="s">
        <v>125</v>
      </c>
      <c r="C838" s="1" t="s">
        <v>87</v>
      </c>
      <c r="D838" s="1" t="s">
        <v>9</v>
      </c>
      <c r="E838" s="2">
        <v>42276.457638888889</v>
      </c>
      <c r="F838" s="1" t="s">
        <v>7</v>
      </c>
      <c r="G838" s="1">
        <v>58356</v>
      </c>
      <c r="H838" s="1">
        <v>16</v>
      </c>
      <c r="I838" s="1" t="s">
        <v>81</v>
      </c>
      <c r="J838" s="1">
        <f>+Table2[[#This Row],[Ventas]]/Table2[[#This Row],[Cantidad]]</f>
        <v>3647.25</v>
      </c>
      <c r="K838" s="1" t="str">
        <f>+_xlfn.IFS(Table2[[#This Row],[Ventas]]&gt;200000,"Alta", Table2[[#This Row],[Ventas]]&gt;100000,"Media",TRUE,"Bajo")</f>
        <v>Bajo</v>
      </c>
    </row>
    <row r="839" spans="1:11" x14ac:dyDescent="0.25">
      <c r="A839" s="1" t="s">
        <v>98</v>
      </c>
      <c r="B839" s="1" t="s">
        <v>118</v>
      </c>
      <c r="C839" s="1" t="s">
        <v>92</v>
      </c>
      <c r="D839" s="1" t="s">
        <v>5</v>
      </c>
      <c r="E839" s="2">
        <v>42272.457638888889</v>
      </c>
      <c r="F839" s="1" t="s">
        <v>7</v>
      </c>
      <c r="G839" s="1">
        <v>197046</v>
      </c>
      <c r="H839" s="1">
        <v>28</v>
      </c>
      <c r="I839" s="1" t="s">
        <v>79</v>
      </c>
      <c r="J839" s="1">
        <f>+Table2[[#This Row],[Ventas]]/Table2[[#This Row],[Cantidad]]</f>
        <v>7037.3571428571431</v>
      </c>
      <c r="K839" s="1" t="str">
        <f>+_xlfn.IFS(Table2[[#This Row],[Ventas]]&gt;200000,"Alta", Table2[[#This Row],[Ventas]]&gt;100000,"Media",TRUE,"Bajo")</f>
        <v>Media</v>
      </c>
    </row>
    <row r="840" spans="1:11" x14ac:dyDescent="0.25">
      <c r="A840" s="1" t="s">
        <v>98</v>
      </c>
      <c r="B840" s="1" t="s">
        <v>107</v>
      </c>
      <c r="C840" s="1" t="s">
        <v>91</v>
      </c>
      <c r="D840" s="1" t="s">
        <v>9</v>
      </c>
      <c r="E840" s="2">
        <v>42270.457638888889</v>
      </c>
      <c r="F840" s="1" t="s">
        <v>7</v>
      </c>
      <c r="G840" s="1">
        <v>80082</v>
      </c>
      <c r="H840" s="1">
        <v>19</v>
      </c>
      <c r="I840" s="1" t="s">
        <v>82</v>
      </c>
      <c r="J840" s="1">
        <f>+Table2[[#This Row],[Ventas]]/Table2[[#This Row],[Cantidad]]</f>
        <v>4214.8421052631575</v>
      </c>
      <c r="K840" s="1" t="str">
        <f>+_xlfn.IFS(Table2[[#This Row],[Ventas]]&gt;200000,"Alta", Table2[[#This Row],[Ventas]]&gt;100000,"Media",TRUE,"Bajo")</f>
        <v>Bajo</v>
      </c>
    </row>
    <row r="841" spans="1:11" x14ac:dyDescent="0.25">
      <c r="A841" s="1" t="s">
        <v>98</v>
      </c>
      <c r="B841" s="1" t="s">
        <v>15</v>
      </c>
      <c r="C841" s="1" t="s">
        <v>92</v>
      </c>
      <c r="D841" s="1" t="s">
        <v>5</v>
      </c>
      <c r="E841" s="2">
        <v>42272.457638888889</v>
      </c>
      <c r="F841" s="1" t="s">
        <v>7</v>
      </c>
      <c r="G841" s="1">
        <v>152845</v>
      </c>
      <c r="H841" s="1">
        <v>17</v>
      </c>
      <c r="I841" s="1" t="s">
        <v>80</v>
      </c>
      <c r="J841" s="1">
        <f>+Table2[[#This Row],[Ventas]]/Table2[[#This Row],[Cantidad]]</f>
        <v>8990.8823529411766</v>
      </c>
      <c r="K841" s="1" t="str">
        <f>+_xlfn.IFS(Table2[[#This Row],[Ventas]]&gt;200000,"Alta", Table2[[#This Row],[Ventas]]&gt;100000,"Media",TRUE,"Bajo")</f>
        <v>Media</v>
      </c>
    </row>
    <row r="842" spans="1:11" x14ac:dyDescent="0.25">
      <c r="A842" s="1" t="s">
        <v>98</v>
      </c>
      <c r="B842" s="1" t="s">
        <v>37</v>
      </c>
      <c r="C842" s="1" t="s">
        <v>91</v>
      </c>
      <c r="D842" s="1" t="s">
        <v>9</v>
      </c>
      <c r="E842" s="2">
        <v>42277.457638888889</v>
      </c>
      <c r="F842" s="1" t="s">
        <v>6</v>
      </c>
      <c r="G842" s="1">
        <v>191117</v>
      </c>
      <c r="H842" s="1">
        <v>33</v>
      </c>
      <c r="I842" s="1" t="s">
        <v>81</v>
      </c>
      <c r="J842" s="1">
        <f>+Table2[[#This Row],[Ventas]]/Table2[[#This Row],[Cantidad]]</f>
        <v>5791.424242424242</v>
      </c>
      <c r="K842" s="1" t="str">
        <f>+_xlfn.IFS(Table2[[#This Row],[Ventas]]&gt;200000,"Alta", Table2[[#This Row],[Ventas]]&gt;100000,"Media",TRUE,"Bajo")</f>
        <v>Media</v>
      </c>
    </row>
    <row r="843" spans="1:11" x14ac:dyDescent="0.25">
      <c r="A843" s="1" t="s">
        <v>98</v>
      </c>
      <c r="B843" s="1" t="s">
        <v>28</v>
      </c>
      <c r="C843" s="1" t="s">
        <v>88</v>
      </c>
      <c r="D843" s="1" t="s">
        <v>9</v>
      </c>
      <c r="E843" s="2">
        <v>42277.457638888889</v>
      </c>
      <c r="F843" s="1" t="s">
        <v>6</v>
      </c>
      <c r="G843" s="1">
        <v>164288</v>
      </c>
      <c r="H843" s="1">
        <v>25</v>
      </c>
      <c r="I843" s="1" t="s">
        <v>79</v>
      </c>
      <c r="J843" s="1">
        <f>+Table2[[#This Row],[Ventas]]/Table2[[#This Row],[Cantidad]]</f>
        <v>6571.52</v>
      </c>
      <c r="K843" s="1" t="str">
        <f>+_xlfn.IFS(Table2[[#This Row],[Ventas]]&gt;200000,"Alta", Table2[[#This Row],[Ventas]]&gt;100000,"Media",TRUE,"Bajo")</f>
        <v>Media</v>
      </c>
    </row>
    <row r="844" spans="1:11" x14ac:dyDescent="0.25">
      <c r="A844" s="1" t="s">
        <v>98</v>
      </c>
      <c r="B844" s="1" t="s">
        <v>146</v>
      </c>
      <c r="C844" s="1" t="s">
        <v>86</v>
      </c>
      <c r="D844" s="1" t="s">
        <v>9</v>
      </c>
      <c r="E844" s="2">
        <v>42270.457638888889</v>
      </c>
      <c r="F844" s="1" t="s">
        <v>10</v>
      </c>
      <c r="G844" s="1">
        <v>63188</v>
      </c>
      <c r="H844" s="1">
        <v>33</v>
      </c>
      <c r="I844" s="1" t="s">
        <v>79</v>
      </c>
      <c r="J844" s="1">
        <f>+Table2[[#This Row],[Ventas]]/Table2[[#This Row],[Cantidad]]</f>
        <v>1914.7878787878788</v>
      </c>
      <c r="K844" s="1" t="str">
        <f>+_xlfn.IFS(Table2[[#This Row],[Ventas]]&gt;200000,"Alta", Table2[[#This Row],[Ventas]]&gt;100000,"Media",TRUE,"Bajo")</f>
        <v>Bajo</v>
      </c>
    </row>
    <row r="845" spans="1:11" x14ac:dyDescent="0.25">
      <c r="A845" s="1" t="s">
        <v>98</v>
      </c>
      <c r="B845" s="1" t="s">
        <v>112</v>
      </c>
      <c r="C845" s="1" t="s">
        <v>89</v>
      </c>
      <c r="D845" s="1" t="s">
        <v>9</v>
      </c>
      <c r="E845" s="2">
        <v>42277.457638888889</v>
      </c>
      <c r="F845" s="1" t="s">
        <v>6</v>
      </c>
      <c r="G845" s="1">
        <v>109687</v>
      </c>
      <c r="H845" s="1">
        <v>18</v>
      </c>
      <c r="I845" s="1" t="s">
        <v>93</v>
      </c>
      <c r="J845" s="1">
        <f>+Table2[[#This Row],[Ventas]]/Table2[[#This Row],[Cantidad]]</f>
        <v>6093.7222222222226</v>
      </c>
      <c r="K845" s="1" t="str">
        <f>+_xlfn.IFS(Table2[[#This Row],[Ventas]]&gt;200000,"Alta", Table2[[#This Row],[Ventas]]&gt;100000,"Media",TRUE,"Bajo")</f>
        <v>Media</v>
      </c>
    </row>
    <row r="846" spans="1:11" x14ac:dyDescent="0.25">
      <c r="A846" s="1" t="s">
        <v>98</v>
      </c>
      <c r="B846" s="1" t="s">
        <v>142</v>
      </c>
      <c r="C846" s="1" t="s">
        <v>88</v>
      </c>
      <c r="D846" s="1" t="s">
        <v>9</v>
      </c>
      <c r="E846" s="2">
        <v>42277.457638888889</v>
      </c>
      <c r="F846" s="1" t="s">
        <v>6</v>
      </c>
      <c r="G846" s="1">
        <v>190056</v>
      </c>
      <c r="H846" s="1">
        <v>24</v>
      </c>
      <c r="I846" s="1" t="s">
        <v>81</v>
      </c>
      <c r="J846" s="1">
        <f>+Table2[[#This Row],[Ventas]]/Table2[[#This Row],[Cantidad]]</f>
        <v>7919</v>
      </c>
      <c r="K846" s="1" t="str">
        <f>+_xlfn.IFS(Table2[[#This Row],[Ventas]]&gt;200000,"Alta", Table2[[#This Row],[Ventas]]&gt;100000,"Media",TRUE,"Bajo")</f>
        <v>Media</v>
      </c>
    </row>
    <row r="847" spans="1:11" x14ac:dyDescent="0.25">
      <c r="A847" s="1" t="s">
        <v>98</v>
      </c>
      <c r="B847" s="1" t="s">
        <v>63</v>
      </c>
      <c r="C847" s="1" t="s">
        <v>91</v>
      </c>
      <c r="D847" s="1" t="s">
        <v>9</v>
      </c>
      <c r="E847" s="2">
        <v>42264.457638888889</v>
      </c>
      <c r="F847" s="1" t="s">
        <v>6</v>
      </c>
      <c r="G847" s="1">
        <v>114059</v>
      </c>
      <c r="H847" s="1">
        <v>42</v>
      </c>
      <c r="I847" s="1" t="s">
        <v>79</v>
      </c>
      <c r="J847" s="1">
        <f>+Table2[[#This Row],[Ventas]]/Table2[[#This Row],[Cantidad]]</f>
        <v>2715.6904761904761</v>
      </c>
      <c r="K847" s="1" t="str">
        <f>+_xlfn.IFS(Table2[[#This Row],[Ventas]]&gt;200000,"Alta", Table2[[#This Row],[Ventas]]&gt;100000,"Media",TRUE,"Bajo")</f>
        <v>Media</v>
      </c>
    </row>
    <row r="848" spans="1:11" x14ac:dyDescent="0.25">
      <c r="A848" s="1" t="s">
        <v>98</v>
      </c>
      <c r="B848" s="1" t="s">
        <v>63</v>
      </c>
      <c r="C848" s="1" t="s">
        <v>91</v>
      </c>
      <c r="D848" s="1" t="s">
        <v>9</v>
      </c>
      <c r="E848" s="2">
        <v>42264.457638888889</v>
      </c>
      <c r="F848" s="1" t="s">
        <v>6</v>
      </c>
      <c r="G848" s="1">
        <v>94117</v>
      </c>
      <c r="H848" s="1">
        <v>34</v>
      </c>
      <c r="I848" s="1" t="s">
        <v>81</v>
      </c>
      <c r="J848" s="1">
        <f>+Table2[[#This Row],[Ventas]]/Table2[[#This Row],[Cantidad]]</f>
        <v>2768.1470588235293</v>
      </c>
      <c r="K848" s="1" t="str">
        <f>+_xlfn.IFS(Table2[[#This Row],[Ventas]]&gt;200000,"Alta", Table2[[#This Row],[Ventas]]&gt;100000,"Media",TRUE,"Bajo")</f>
        <v>Bajo</v>
      </c>
    </row>
    <row r="849" spans="1:11" x14ac:dyDescent="0.25">
      <c r="A849" s="1" t="s">
        <v>98</v>
      </c>
      <c r="B849" s="1" t="s">
        <v>53</v>
      </c>
      <c r="C849" s="1" t="s">
        <v>88</v>
      </c>
      <c r="D849" s="1" t="s">
        <v>9</v>
      </c>
      <c r="E849" s="2">
        <v>42277.457638888889</v>
      </c>
      <c r="F849" s="1" t="s">
        <v>6</v>
      </c>
      <c r="G849" s="1">
        <v>193459</v>
      </c>
      <c r="H849" s="1">
        <v>30</v>
      </c>
      <c r="I849" s="1" t="s">
        <v>81</v>
      </c>
      <c r="J849" s="1">
        <f>+Table2[[#This Row],[Ventas]]/Table2[[#This Row],[Cantidad]]</f>
        <v>6448.6333333333332</v>
      </c>
      <c r="K849" s="1" t="str">
        <f>+_xlfn.IFS(Table2[[#This Row],[Ventas]]&gt;200000,"Alta", Table2[[#This Row],[Ventas]]&gt;100000,"Media",TRUE,"Bajo")</f>
        <v>Media</v>
      </c>
    </row>
    <row r="850" spans="1:11" x14ac:dyDescent="0.25">
      <c r="A850" s="1" t="s">
        <v>98</v>
      </c>
      <c r="B850" s="1" t="s">
        <v>4</v>
      </c>
      <c r="C850" s="1" t="s">
        <v>86</v>
      </c>
      <c r="D850" s="1" t="s">
        <v>5</v>
      </c>
      <c r="E850" s="2">
        <v>42277.457638888889</v>
      </c>
      <c r="F850" s="1" t="s">
        <v>7</v>
      </c>
      <c r="G850" s="1">
        <v>198537</v>
      </c>
      <c r="H850" s="1">
        <v>25</v>
      </c>
      <c r="I850" s="1" t="s">
        <v>82</v>
      </c>
      <c r="J850" s="1">
        <f>+Table2[[#This Row],[Ventas]]/Table2[[#This Row],[Cantidad]]</f>
        <v>7941.48</v>
      </c>
      <c r="K850" s="1" t="str">
        <f>+_xlfn.IFS(Table2[[#This Row],[Ventas]]&gt;200000,"Alta", Table2[[#This Row],[Ventas]]&gt;100000,"Media",TRUE,"Bajo")</f>
        <v>Media</v>
      </c>
    </row>
    <row r="851" spans="1:11" x14ac:dyDescent="0.25">
      <c r="A851" s="1" t="s">
        <v>98</v>
      </c>
      <c r="B851" s="1" t="s">
        <v>63</v>
      </c>
      <c r="C851" s="1" t="s">
        <v>91</v>
      </c>
      <c r="D851" s="1" t="s">
        <v>9</v>
      </c>
      <c r="E851" s="2">
        <v>42264.457638888889</v>
      </c>
      <c r="F851" s="1" t="s">
        <v>6</v>
      </c>
      <c r="G851" s="1">
        <v>97698</v>
      </c>
      <c r="H851" s="1">
        <v>15</v>
      </c>
      <c r="I851" s="1" t="s">
        <v>79</v>
      </c>
      <c r="J851" s="1">
        <f>+Table2[[#This Row],[Ventas]]/Table2[[#This Row],[Cantidad]]</f>
        <v>6513.2</v>
      </c>
      <c r="K851" s="1" t="str">
        <f>+_xlfn.IFS(Table2[[#This Row],[Ventas]]&gt;200000,"Alta", Table2[[#This Row],[Ventas]]&gt;100000,"Media",TRUE,"Bajo")</f>
        <v>Bajo</v>
      </c>
    </row>
    <row r="852" spans="1:11" x14ac:dyDescent="0.25">
      <c r="A852" s="1" t="s">
        <v>98</v>
      </c>
      <c r="B852" s="1" t="s">
        <v>67</v>
      </c>
      <c r="C852" s="1" t="s">
        <v>91</v>
      </c>
      <c r="D852" s="1" t="s">
        <v>9</v>
      </c>
      <c r="E852" s="2">
        <v>42277.457638888889</v>
      </c>
      <c r="F852" s="1" t="s">
        <v>6</v>
      </c>
      <c r="G852" s="1">
        <v>113698</v>
      </c>
      <c r="H852" s="1">
        <v>24</v>
      </c>
      <c r="I852" s="1" t="s">
        <v>80</v>
      </c>
      <c r="J852" s="1">
        <f>+Table2[[#This Row],[Ventas]]/Table2[[#This Row],[Cantidad]]</f>
        <v>4737.416666666667</v>
      </c>
      <c r="K852" s="1" t="str">
        <f>+_xlfn.IFS(Table2[[#This Row],[Ventas]]&gt;200000,"Alta", Table2[[#This Row],[Ventas]]&gt;100000,"Media",TRUE,"Bajo")</f>
        <v>Media</v>
      </c>
    </row>
    <row r="853" spans="1:11" x14ac:dyDescent="0.25">
      <c r="A853" s="1" t="s">
        <v>98</v>
      </c>
      <c r="B853" s="1" t="s">
        <v>129</v>
      </c>
      <c r="C853" s="1" t="s">
        <v>89</v>
      </c>
      <c r="D853" s="1" t="s">
        <v>9</v>
      </c>
      <c r="E853" s="2">
        <v>42277.457638888889</v>
      </c>
      <c r="F853" s="1" t="s">
        <v>6</v>
      </c>
      <c r="G853" s="1">
        <v>71482</v>
      </c>
      <c r="H853" s="1">
        <v>36</v>
      </c>
      <c r="I853" s="1" t="s">
        <v>93</v>
      </c>
      <c r="J853" s="1">
        <f>+Table2[[#This Row],[Ventas]]/Table2[[#This Row],[Cantidad]]</f>
        <v>1985.6111111111111</v>
      </c>
      <c r="K853" s="1" t="str">
        <f>+_xlfn.IFS(Table2[[#This Row],[Ventas]]&gt;200000,"Alta", Table2[[#This Row],[Ventas]]&gt;100000,"Media",TRUE,"Bajo")</f>
        <v>Bajo</v>
      </c>
    </row>
    <row r="854" spans="1:11" x14ac:dyDescent="0.25">
      <c r="A854" s="1" t="s">
        <v>98</v>
      </c>
      <c r="B854" s="1" t="s">
        <v>53</v>
      </c>
      <c r="C854" s="1" t="s">
        <v>87</v>
      </c>
      <c r="D854" s="1" t="s">
        <v>9</v>
      </c>
      <c r="E854" s="2">
        <v>42263.457638888889</v>
      </c>
      <c r="F854" s="1" t="s">
        <v>6</v>
      </c>
      <c r="G854" s="1">
        <v>245579</v>
      </c>
      <c r="H854" s="1">
        <v>32</v>
      </c>
      <c r="I854" s="1" t="s">
        <v>79</v>
      </c>
      <c r="J854" s="1">
        <f>+Table2[[#This Row],[Ventas]]/Table2[[#This Row],[Cantidad]]</f>
        <v>7674.34375</v>
      </c>
      <c r="K854" s="1" t="str">
        <f>+_xlfn.IFS(Table2[[#This Row],[Ventas]]&gt;200000,"Alta", Table2[[#This Row],[Ventas]]&gt;100000,"Media",TRUE,"Bajo")</f>
        <v>Alta</v>
      </c>
    </row>
    <row r="855" spans="1:11" x14ac:dyDescent="0.25">
      <c r="A855" s="1" t="s">
        <v>98</v>
      </c>
      <c r="B855" s="1" t="s">
        <v>123</v>
      </c>
      <c r="C855" s="1" t="s">
        <v>91</v>
      </c>
      <c r="D855" s="1" t="s">
        <v>9</v>
      </c>
      <c r="E855" s="2">
        <v>42248.457638888889</v>
      </c>
      <c r="F855" s="1" t="s">
        <v>6</v>
      </c>
      <c r="G855" s="1">
        <v>226790</v>
      </c>
      <c r="H855" s="1">
        <v>27</v>
      </c>
      <c r="I855" s="1" t="s">
        <v>79</v>
      </c>
      <c r="J855" s="1">
        <f>+Table2[[#This Row],[Ventas]]/Table2[[#This Row],[Cantidad]]</f>
        <v>8399.6296296296296</v>
      </c>
      <c r="K855" s="1" t="str">
        <f>+_xlfn.IFS(Table2[[#This Row],[Ventas]]&gt;200000,"Alta", Table2[[#This Row],[Ventas]]&gt;100000,"Media",TRUE,"Bajo")</f>
        <v>Alta</v>
      </c>
    </row>
    <row r="856" spans="1:11" x14ac:dyDescent="0.25">
      <c r="A856" s="1" t="s">
        <v>98</v>
      </c>
      <c r="B856" s="1" t="s">
        <v>15</v>
      </c>
      <c r="C856" s="1" t="s">
        <v>92</v>
      </c>
      <c r="D856" s="1" t="s">
        <v>5</v>
      </c>
      <c r="E856" s="2">
        <v>42272.457638888889</v>
      </c>
      <c r="F856" s="1" t="s">
        <v>7</v>
      </c>
      <c r="G856" s="1">
        <v>209688</v>
      </c>
      <c r="H856" s="1">
        <v>29</v>
      </c>
      <c r="I856" s="1" t="s">
        <v>79</v>
      </c>
      <c r="J856" s="1">
        <f>+Table2[[#This Row],[Ventas]]/Table2[[#This Row],[Cantidad]]</f>
        <v>7230.6206896551721</v>
      </c>
      <c r="K856" s="1" t="str">
        <f>+_xlfn.IFS(Table2[[#This Row],[Ventas]]&gt;200000,"Alta", Table2[[#This Row],[Ventas]]&gt;100000,"Media",TRUE,"Bajo")</f>
        <v>Alta</v>
      </c>
    </row>
    <row r="857" spans="1:11" x14ac:dyDescent="0.25">
      <c r="A857" s="1" t="s">
        <v>98</v>
      </c>
      <c r="B857" s="1" t="s">
        <v>4</v>
      </c>
      <c r="C857" s="1" t="s">
        <v>84</v>
      </c>
      <c r="D857" s="1" t="s">
        <v>5</v>
      </c>
      <c r="E857" s="2">
        <v>42277.457638888889</v>
      </c>
      <c r="F857" s="1" t="s">
        <v>7</v>
      </c>
      <c r="G857" s="1">
        <v>91011</v>
      </c>
      <c r="H857" s="1">
        <v>29</v>
      </c>
      <c r="I857" s="1" t="s">
        <v>79</v>
      </c>
      <c r="J857" s="1">
        <f>+Table2[[#This Row],[Ventas]]/Table2[[#This Row],[Cantidad]]</f>
        <v>3138.3103448275861</v>
      </c>
      <c r="K857" s="1" t="str">
        <f>+_xlfn.IFS(Table2[[#This Row],[Ventas]]&gt;200000,"Alta", Table2[[#This Row],[Ventas]]&gt;100000,"Media",TRUE,"Bajo")</f>
        <v>Bajo</v>
      </c>
    </row>
    <row r="858" spans="1:11" x14ac:dyDescent="0.25">
      <c r="A858" s="1" t="s">
        <v>98</v>
      </c>
      <c r="B858" s="1" t="s">
        <v>16</v>
      </c>
      <c r="C858" s="1" t="s">
        <v>92</v>
      </c>
      <c r="D858" s="1" t="s">
        <v>5</v>
      </c>
      <c r="E858" s="2">
        <v>42277.457638888889</v>
      </c>
      <c r="F858" s="1" t="s">
        <v>7</v>
      </c>
      <c r="G858" s="1">
        <v>81190</v>
      </c>
      <c r="H858" s="1">
        <v>21</v>
      </c>
      <c r="I858" s="1" t="s">
        <v>81</v>
      </c>
      <c r="J858" s="1">
        <f>+Table2[[#This Row],[Ventas]]/Table2[[#This Row],[Cantidad]]</f>
        <v>3866.1904761904761</v>
      </c>
      <c r="K858" s="1" t="str">
        <f>+_xlfn.IFS(Table2[[#This Row],[Ventas]]&gt;200000,"Alta", Table2[[#This Row],[Ventas]]&gt;100000,"Media",TRUE,"Bajo")</f>
        <v>Bajo</v>
      </c>
    </row>
    <row r="859" spans="1:11" x14ac:dyDescent="0.25">
      <c r="A859" s="1" t="s">
        <v>98</v>
      </c>
      <c r="B859" s="1" t="s">
        <v>142</v>
      </c>
      <c r="C859" s="1" t="s">
        <v>88</v>
      </c>
      <c r="D859" s="1" t="s">
        <v>9</v>
      </c>
      <c r="E859" s="2">
        <v>42263.457638888889</v>
      </c>
      <c r="F859" s="1" t="s">
        <v>6</v>
      </c>
      <c r="G859" s="1">
        <v>138161</v>
      </c>
      <c r="H859" s="1">
        <v>28</v>
      </c>
      <c r="I859" s="1" t="s">
        <v>79</v>
      </c>
      <c r="J859" s="1">
        <f>+Table2[[#This Row],[Ventas]]/Table2[[#This Row],[Cantidad]]</f>
        <v>4934.3214285714284</v>
      </c>
      <c r="K859" s="1" t="str">
        <f>+_xlfn.IFS(Table2[[#This Row],[Ventas]]&gt;200000,"Alta", Table2[[#This Row],[Ventas]]&gt;100000,"Media",TRUE,"Bajo")</f>
        <v>Media</v>
      </c>
    </row>
    <row r="860" spans="1:11" x14ac:dyDescent="0.25">
      <c r="A860" s="1" t="s">
        <v>98</v>
      </c>
      <c r="B860" s="1" t="s">
        <v>132</v>
      </c>
      <c r="C860" s="1" t="s">
        <v>87</v>
      </c>
      <c r="D860" s="1" t="s">
        <v>9</v>
      </c>
      <c r="E860" s="2">
        <v>42277.457638888889</v>
      </c>
      <c r="F860" s="1" t="s">
        <v>7</v>
      </c>
      <c r="G860" s="1">
        <v>201236</v>
      </c>
      <c r="H860" s="1">
        <v>35</v>
      </c>
      <c r="I860" s="1" t="s">
        <v>80</v>
      </c>
      <c r="J860" s="1">
        <f>+Table2[[#This Row],[Ventas]]/Table2[[#This Row],[Cantidad]]</f>
        <v>5749.6</v>
      </c>
      <c r="K860" s="1" t="str">
        <f>+_xlfn.IFS(Table2[[#This Row],[Ventas]]&gt;200000,"Alta", Table2[[#This Row],[Ventas]]&gt;100000,"Media",TRUE,"Bajo")</f>
        <v>Alta</v>
      </c>
    </row>
    <row r="861" spans="1:11" x14ac:dyDescent="0.25">
      <c r="A861" s="1" t="s">
        <v>98</v>
      </c>
      <c r="B861" s="1" t="s">
        <v>24</v>
      </c>
      <c r="C861" s="1" t="s">
        <v>92</v>
      </c>
      <c r="D861" s="1" t="s">
        <v>5</v>
      </c>
      <c r="E861" s="2">
        <v>42275.457638888889</v>
      </c>
      <c r="F861" s="1" t="s">
        <v>6</v>
      </c>
      <c r="G861" s="1">
        <v>103222</v>
      </c>
      <c r="H861" s="1">
        <v>22</v>
      </c>
      <c r="I861" s="1" t="s">
        <v>93</v>
      </c>
      <c r="J861" s="1">
        <f>+Table2[[#This Row],[Ventas]]/Table2[[#This Row],[Cantidad]]</f>
        <v>4691.909090909091</v>
      </c>
      <c r="K861" s="1" t="str">
        <f>+_xlfn.IFS(Table2[[#This Row],[Ventas]]&gt;200000,"Alta", Table2[[#This Row],[Ventas]]&gt;100000,"Media",TRUE,"Bajo")</f>
        <v>Media</v>
      </c>
    </row>
    <row r="862" spans="1:11" x14ac:dyDescent="0.25">
      <c r="A862" s="1" t="s">
        <v>98</v>
      </c>
      <c r="B862" s="1" t="s">
        <v>53</v>
      </c>
      <c r="C862" s="1" t="s">
        <v>87</v>
      </c>
      <c r="D862" s="1" t="s">
        <v>9</v>
      </c>
      <c r="E862" s="2">
        <v>42263.457638888889</v>
      </c>
      <c r="F862" s="1" t="s">
        <v>6</v>
      </c>
      <c r="G862" s="1">
        <v>145586</v>
      </c>
      <c r="H862" s="1">
        <v>38</v>
      </c>
      <c r="I862" s="1" t="s">
        <v>80</v>
      </c>
      <c r="J862" s="1">
        <f>+Table2[[#This Row],[Ventas]]/Table2[[#This Row],[Cantidad]]</f>
        <v>3831.2105263157896</v>
      </c>
      <c r="K862" s="1" t="str">
        <f>+_xlfn.IFS(Table2[[#This Row],[Ventas]]&gt;200000,"Alta", Table2[[#This Row],[Ventas]]&gt;100000,"Media",TRUE,"Bajo")</f>
        <v>Media</v>
      </c>
    </row>
    <row r="863" spans="1:11" x14ac:dyDescent="0.25">
      <c r="A863" s="1" t="s">
        <v>98</v>
      </c>
      <c r="B863" s="1" t="s">
        <v>123</v>
      </c>
      <c r="C863" s="1" t="s">
        <v>91</v>
      </c>
      <c r="D863" s="1" t="s">
        <v>9</v>
      </c>
      <c r="E863" s="2">
        <v>42248.457638888889</v>
      </c>
      <c r="F863" s="1" t="s">
        <v>6</v>
      </c>
      <c r="G863" s="1">
        <v>201274</v>
      </c>
      <c r="H863" s="1">
        <v>31</v>
      </c>
      <c r="I863" s="1" t="s">
        <v>81</v>
      </c>
      <c r="J863" s="1">
        <f>+Table2[[#This Row],[Ventas]]/Table2[[#This Row],[Cantidad]]</f>
        <v>6492.7096774193551</v>
      </c>
      <c r="K863" s="1" t="str">
        <f>+_xlfn.IFS(Table2[[#This Row],[Ventas]]&gt;200000,"Alta", Table2[[#This Row],[Ventas]]&gt;100000,"Media",TRUE,"Bajo")</f>
        <v>Alta</v>
      </c>
    </row>
    <row r="864" spans="1:11" x14ac:dyDescent="0.25">
      <c r="A864" s="1" t="s">
        <v>98</v>
      </c>
      <c r="B864" s="1" t="s">
        <v>63</v>
      </c>
      <c r="C864" s="1" t="s">
        <v>91</v>
      </c>
      <c r="D864" s="1" t="s">
        <v>9</v>
      </c>
      <c r="E864" s="2">
        <v>42264.457638888889</v>
      </c>
      <c r="F864" s="1" t="s">
        <v>6</v>
      </c>
      <c r="G864" s="1">
        <v>86028</v>
      </c>
      <c r="H864" s="1">
        <v>23</v>
      </c>
      <c r="I864" s="1" t="s">
        <v>79</v>
      </c>
      <c r="J864" s="1">
        <f>+Table2[[#This Row],[Ventas]]/Table2[[#This Row],[Cantidad]]</f>
        <v>3740.3478260869565</v>
      </c>
      <c r="K864" s="1" t="str">
        <f>+_xlfn.IFS(Table2[[#This Row],[Ventas]]&gt;200000,"Alta", Table2[[#This Row],[Ventas]]&gt;100000,"Media",TRUE,"Bajo")</f>
        <v>Bajo</v>
      </c>
    </row>
    <row r="865" spans="1:11" x14ac:dyDescent="0.25">
      <c r="A865" s="1" t="s">
        <v>98</v>
      </c>
      <c r="B865" s="1" t="s">
        <v>63</v>
      </c>
      <c r="C865" s="1" t="s">
        <v>91</v>
      </c>
      <c r="D865" s="1" t="s">
        <v>9</v>
      </c>
      <c r="E865" s="2">
        <v>42264.457638888889</v>
      </c>
      <c r="F865" s="1" t="s">
        <v>6</v>
      </c>
      <c r="G865" s="1">
        <v>229548</v>
      </c>
      <c r="H865" s="1">
        <v>36</v>
      </c>
      <c r="I865" s="1" t="s">
        <v>79</v>
      </c>
      <c r="J865" s="1">
        <f>+Table2[[#This Row],[Ventas]]/Table2[[#This Row],[Cantidad]]</f>
        <v>6376.333333333333</v>
      </c>
      <c r="K865" s="1" t="str">
        <f>+_xlfn.IFS(Table2[[#This Row],[Ventas]]&gt;200000,"Alta", Table2[[#This Row],[Ventas]]&gt;100000,"Media",TRUE,"Bajo")</f>
        <v>Alta</v>
      </c>
    </row>
    <row r="866" spans="1:11" x14ac:dyDescent="0.25">
      <c r="A866" s="1" t="s">
        <v>98</v>
      </c>
      <c r="B866" s="1" t="s">
        <v>16</v>
      </c>
      <c r="C866" s="1" t="s">
        <v>92</v>
      </c>
      <c r="D866" s="1" t="s">
        <v>5</v>
      </c>
      <c r="E866" s="2">
        <v>42277.457638888889</v>
      </c>
      <c r="F866" s="1" t="s">
        <v>7</v>
      </c>
      <c r="G866" s="1">
        <v>80726</v>
      </c>
      <c r="H866" s="1">
        <v>38</v>
      </c>
      <c r="I866" s="1" t="s">
        <v>79</v>
      </c>
      <c r="J866" s="1">
        <f>+Table2[[#This Row],[Ventas]]/Table2[[#This Row],[Cantidad]]</f>
        <v>2124.3684210526317</v>
      </c>
      <c r="K866" s="1" t="str">
        <f>+_xlfn.IFS(Table2[[#This Row],[Ventas]]&gt;200000,"Alta", Table2[[#This Row],[Ventas]]&gt;100000,"Media",TRUE,"Bajo")</f>
        <v>Bajo</v>
      </c>
    </row>
    <row r="867" spans="1:11" x14ac:dyDescent="0.25">
      <c r="A867" s="1" t="s">
        <v>98</v>
      </c>
      <c r="B867" s="1" t="s">
        <v>141</v>
      </c>
      <c r="C867" s="1" t="s">
        <v>86</v>
      </c>
      <c r="D867" s="1" t="s">
        <v>5</v>
      </c>
      <c r="E867" s="2">
        <v>42262.457638888889</v>
      </c>
      <c r="F867" s="1" t="s">
        <v>7</v>
      </c>
      <c r="G867" s="1">
        <v>111874</v>
      </c>
      <c r="H867" s="1">
        <v>18</v>
      </c>
      <c r="I867" s="1" t="s">
        <v>79</v>
      </c>
      <c r="J867" s="1">
        <f>+Table2[[#This Row],[Ventas]]/Table2[[#This Row],[Cantidad]]</f>
        <v>6215.2222222222226</v>
      </c>
      <c r="K867" s="1" t="str">
        <f>+_xlfn.IFS(Table2[[#This Row],[Ventas]]&gt;200000,"Alta", Table2[[#This Row],[Ventas]]&gt;100000,"Media",TRUE,"Bajo")</f>
        <v>Media</v>
      </c>
    </row>
    <row r="868" spans="1:11" x14ac:dyDescent="0.25">
      <c r="A868" s="1" t="s">
        <v>98</v>
      </c>
      <c r="B868" s="1" t="s">
        <v>141</v>
      </c>
      <c r="C868" s="1" t="s">
        <v>86</v>
      </c>
      <c r="D868" s="1" t="s">
        <v>5</v>
      </c>
      <c r="E868" s="2">
        <v>42262.457638888889</v>
      </c>
      <c r="F868" s="1" t="s">
        <v>7</v>
      </c>
      <c r="G868" s="1">
        <v>68209</v>
      </c>
      <c r="H868" s="1">
        <v>17</v>
      </c>
      <c r="I868" s="1" t="s">
        <v>81</v>
      </c>
      <c r="J868" s="1">
        <f>+Table2[[#This Row],[Ventas]]/Table2[[#This Row],[Cantidad]]</f>
        <v>4012.294117647059</v>
      </c>
      <c r="K868" s="1" t="str">
        <f>+_xlfn.IFS(Table2[[#This Row],[Ventas]]&gt;200000,"Alta", Table2[[#This Row],[Ventas]]&gt;100000,"Media",TRUE,"Bajo")</f>
        <v>Bajo</v>
      </c>
    </row>
    <row r="869" spans="1:11" x14ac:dyDescent="0.25">
      <c r="A869" s="1" t="s">
        <v>98</v>
      </c>
      <c r="B869" s="1" t="s">
        <v>13</v>
      </c>
      <c r="C869" s="1" t="s">
        <v>89</v>
      </c>
      <c r="D869" s="1" t="s">
        <v>9</v>
      </c>
      <c r="E869" s="2">
        <v>42277.457638888889</v>
      </c>
      <c r="F869" s="1" t="s">
        <v>6</v>
      </c>
      <c r="G869" s="1">
        <v>122294</v>
      </c>
      <c r="H869" s="1">
        <v>24</v>
      </c>
      <c r="I869" s="1" t="s">
        <v>81</v>
      </c>
      <c r="J869" s="1">
        <f>+Table2[[#This Row],[Ventas]]/Table2[[#This Row],[Cantidad]]</f>
        <v>5095.583333333333</v>
      </c>
      <c r="K869" s="1" t="str">
        <f>+_xlfn.IFS(Table2[[#This Row],[Ventas]]&gt;200000,"Alta", Table2[[#This Row],[Ventas]]&gt;100000,"Media",TRUE,"Bajo")</f>
        <v>Media</v>
      </c>
    </row>
    <row r="870" spans="1:11" x14ac:dyDescent="0.25">
      <c r="A870" s="1" t="s">
        <v>98</v>
      </c>
      <c r="B870" s="1" t="s">
        <v>129</v>
      </c>
      <c r="C870" s="1" t="s">
        <v>89</v>
      </c>
      <c r="D870" s="1" t="s">
        <v>9</v>
      </c>
      <c r="E870" s="2">
        <v>42277.457638888889</v>
      </c>
      <c r="F870" s="1" t="s">
        <v>6</v>
      </c>
      <c r="G870" s="1">
        <v>100516</v>
      </c>
      <c r="H870" s="1">
        <v>31</v>
      </c>
      <c r="I870" s="1" t="s">
        <v>93</v>
      </c>
      <c r="J870" s="1">
        <f>+Table2[[#This Row],[Ventas]]/Table2[[#This Row],[Cantidad]]</f>
        <v>3242.4516129032259</v>
      </c>
      <c r="K870" s="1" t="str">
        <f>+_xlfn.IFS(Table2[[#This Row],[Ventas]]&gt;200000,"Alta", Table2[[#This Row],[Ventas]]&gt;100000,"Media",TRUE,"Bajo")</f>
        <v>Media</v>
      </c>
    </row>
    <row r="871" spans="1:11" x14ac:dyDescent="0.25">
      <c r="A871" s="1" t="s">
        <v>98</v>
      </c>
      <c r="B871" s="1" t="s">
        <v>36</v>
      </c>
      <c r="C871" s="1" t="s">
        <v>87</v>
      </c>
      <c r="D871" s="1" t="s">
        <v>9</v>
      </c>
      <c r="E871" s="2">
        <v>42277.457638888889</v>
      </c>
      <c r="F871" s="1" t="s">
        <v>6</v>
      </c>
      <c r="G871" s="1">
        <v>167858</v>
      </c>
      <c r="H871" s="1">
        <v>31</v>
      </c>
      <c r="I871" s="1" t="s">
        <v>93</v>
      </c>
      <c r="J871" s="1">
        <f>+Table2[[#This Row],[Ventas]]/Table2[[#This Row],[Cantidad]]</f>
        <v>5414.7741935483873</v>
      </c>
      <c r="K871" s="1" t="str">
        <f>+_xlfn.IFS(Table2[[#This Row],[Ventas]]&gt;200000,"Alta", Table2[[#This Row],[Ventas]]&gt;100000,"Media",TRUE,"Bajo")</f>
        <v>Media</v>
      </c>
    </row>
    <row r="872" spans="1:11" x14ac:dyDescent="0.25">
      <c r="A872" s="1" t="s">
        <v>98</v>
      </c>
      <c r="B872" s="1" t="s">
        <v>53</v>
      </c>
      <c r="C872" s="1" t="s">
        <v>87</v>
      </c>
      <c r="D872" s="1" t="s">
        <v>9</v>
      </c>
      <c r="E872" s="2">
        <v>42263.457638888889</v>
      </c>
      <c r="F872" s="1" t="s">
        <v>6</v>
      </c>
      <c r="G872" s="1">
        <v>230870</v>
      </c>
      <c r="H872" s="1">
        <v>33</v>
      </c>
      <c r="I872" s="1" t="s">
        <v>81</v>
      </c>
      <c r="J872" s="1">
        <f>+Table2[[#This Row],[Ventas]]/Table2[[#This Row],[Cantidad]]</f>
        <v>6996.060606060606</v>
      </c>
      <c r="K872" s="1" t="str">
        <f>+_xlfn.IFS(Table2[[#This Row],[Ventas]]&gt;200000,"Alta", Table2[[#This Row],[Ventas]]&gt;100000,"Media",TRUE,"Bajo")</f>
        <v>Alta</v>
      </c>
    </row>
    <row r="873" spans="1:11" x14ac:dyDescent="0.25">
      <c r="A873" s="1" t="s">
        <v>98</v>
      </c>
      <c r="B873" s="1" t="s">
        <v>141</v>
      </c>
      <c r="C873" s="1" t="s">
        <v>86</v>
      </c>
      <c r="D873" s="1" t="s">
        <v>5</v>
      </c>
      <c r="E873" s="2">
        <v>42262.457638888889</v>
      </c>
      <c r="F873" s="1" t="s">
        <v>7</v>
      </c>
      <c r="G873" s="1">
        <v>94014</v>
      </c>
      <c r="H873" s="1">
        <v>40</v>
      </c>
      <c r="I873" s="1" t="s">
        <v>82</v>
      </c>
      <c r="J873" s="1">
        <f>+Table2[[#This Row],[Ventas]]/Table2[[#This Row],[Cantidad]]</f>
        <v>2350.35</v>
      </c>
      <c r="K873" s="1" t="str">
        <f>+_xlfn.IFS(Table2[[#This Row],[Ventas]]&gt;200000,"Alta", Table2[[#This Row],[Ventas]]&gt;100000,"Media",TRUE,"Bajo")</f>
        <v>Bajo</v>
      </c>
    </row>
    <row r="874" spans="1:11" x14ac:dyDescent="0.25">
      <c r="A874" s="1" t="s">
        <v>98</v>
      </c>
      <c r="B874" s="1" t="s">
        <v>141</v>
      </c>
      <c r="C874" s="1" t="s">
        <v>86</v>
      </c>
      <c r="D874" s="1" t="s">
        <v>5</v>
      </c>
      <c r="E874" s="2">
        <v>42262.457638888889</v>
      </c>
      <c r="F874" s="1" t="s">
        <v>7</v>
      </c>
      <c r="G874" s="1">
        <v>117686</v>
      </c>
      <c r="H874" s="1">
        <v>30</v>
      </c>
      <c r="I874" s="1" t="s">
        <v>81</v>
      </c>
      <c r="J874" s="1">
        <f>+Table2[[#This Row],[Ventas]]/Table2[[#This Row],[Cantidad]]</f>
        <v>3922.8666666666668</v>
      </c>
      <c r="K874" s="1" t="str">
        <f>+_xlfn.IFS(Table2[[#This Row],[Ventas]]&gt;200000,"Alta", Table2[[#This Row],[Ventas]]&gt;100000,"Media",TRUE,"Bajo")</f>
        <v>Media</v>
      </c>
    </row>
    <row r="875" spans="1:11" x14ac:dyDescent="0.25">
      <c r="A875" s="1" t="s">
        <v>98</v>
      </c>
      <c r="B875" s="1" t="s">
        <v>146</v>
      </c>
      <c r="C875" s="1" t="s">
        <v>86</v>
      </c>
      <c r="D875" s="1" t="s">
        <v>9</v>
      </c>
      <c r="E875" s="2">
        <v>42270.457638888889</v>
      </c>
      <c r="F875" s="1" t="s">
        <v>10</v>
      </c>
      <c r="G875" s="1">
        <v>233373</v>
      </c>
      <c r="H875" s="1">
        <v>27</v>
      </c>
      <c r="I875" s="1" t="s">
        <v>81</v>
      </c>
      <c r="J875" s="1">
        <f>+Table2[[#This Row],[Ventas]]/Table2[[#This Row],[Cantidad]]</f>
        <v>8643.4444444444453</v>
      </c>
      <c r="K875" s="1" t="str">
        <f>+_xlfn.IFS(Table2[[#This Row],[Ventas]]&gt;200000,"Alta", Table2[[#This Row],[Ventas]]&gt;100000,"Media",TRUE,"Bajo")</f>
        <v>Alta</v>
      </c>
    </row>
    <row r="876" spans="1:11" x14ac:dyDescent="0.25">
      <c r="A876" s="1" t="s">
        <v>99</v>
      </c>
      <c r="B876" s="1" t="s">
        <v>125</v>
      </c>
      <c r="C876" s="1" t="s">
        <v>88</v>
      </c>
      <c r="D876" s="1" t="s">
        <v>9</v>
      </c>
      <c r="E876" s="2">
        <v>42256.457638888889</v>
      </c>
      <c r="F876" s="1" t="s">
        <v>6</v>
      </c>
      <c r="G876" s="1">
        <v>186381</v>
      </c>
      <c r="H876" s="1">
        <v>30</v>
      </c>
      <c r="I876" s="1" t="s">
        <v>80</v>
      </c>
      <c r="J876" s="1">
        <f>+Table2[[#This Row],[Ventas]]/Table2[[#This Row],[Cantidad]]</f>
        <v>6212.7</v>
      </c>
      <c r="K876" s="1" t="str">
        <f>+_xlfn.IFS(Table2[[#This Row],[Ventas]]&gt;200000,"Alta", Table2[[#This Row],[Ventas]]&gt;100000,"Media",TRUE,"Bajo")</f>
        <v>Media</v>
      </c>
    </row>
    <row r="877" spans="1:11" x14ac:dyDescent="0.25">
      <c r="A877" s="1" t="s">
        <v>99</v>
      </c>
      <c r="B877" s="1" t="s">
        <v>125</v>
      </c>
      <c r="C877" s="1" t="s">
        <v>88</v>
      </c>
      <c r="D877" s="1" t="s">
        <v>9</v>
      </c>
      <c r="E877" s="2">
        <v>42277.457638888889</v>
      </c>
      <c r="F877" s="1" t="s">
        <v>7</v>
      </c>
      <c r="G877" s="1">
        <v>224371</v>
      </c>
      <c r="H877" s="1">
        <v>31</v>
      </c>
      <c r="I877" s="1" t="s">
        <v>80</v>
      </c>
      <c r="J877" s="1">
        <f>+Table2[[#This Row],[Ventas]]/Table2[[#This Row],[Cantidad]]</f>
        <v>7237.7741935483873</v>
      </c>
      <c r="K877" s="1" t="str">
        <f>+_xlfn.IFS(Table2[[#This Row],[Ventas]]&gt;200000,"Alta", Table2[[#This Row],[Ventas]]&gt;100000,"Media",TRUE,"Bajo")</f>
        <v>Alta</v>
      </c>
    </row>
    <row r="878" spans="1:11" x14ac:dyDescent="0.25">
      <c r="A878" s="1" t="s">
        <v>99</v>
      </c>
      <c r="B878" s="1" t="s">
        <v>118</v>
      </c>
      <c r="C878" s="1" t="s">
        <v>92</v>
      </c>
      <c r="D878" s="1" t="s">
        <v>5</v>
      </c>
      <c r="E878" s="2">
        <v>42272.457638888889</v>
      </c>
      <c r="F878" s="1" t="s">
        <v>7</v>
      </c>
      <c r="G878" s="1">
        <v>122115</v>
      </c>
      <c r="H878" s="1">
        <v>26</v>
      </c>
      <c r="I878" s="1" t="s">
        <v>79</v>
      </c>
      <c r="J878" s="1">
        <f>+Table2[[#This Row],[Ventas]]/Table2[[#This Row],[Cantidad]]</f>
        <v>4696.7307692307695</v>
      </c>
      <c r="K878" s="1" t="str">
        <f>+_xlfn.IFS(Table2[[#This Row],[Ventas]]&gt;200000,"Alta", Table2[[#This Row],[Ventas]]&gt;100000,"Media",TRUE,"Bajo")</f>
        <v>Media</v>
      </c>
    </row>
    <row r="879" spans="1:11" x14ac:dyDescent="0.25">
      <c r="A879" s="1" t="s">
        <v>99</v>
      </c>
      <c r="B879" s="1" t="s">
        <v>35</v>
      </c>
      <c r="C879" s="1" t="s">
        <v>87</v>
      </c>
      <c r="D879" s="1" t="s">
        <v>9</v>
      </c>
      <c r="E879" s="2">
        <v>42277.457638888889</v>
      </c>
      <c r="F879" s="1" t="s">
        <v>6</v>
      </c>
      <c r="G879" s="1">
        <v>60955</v>
      </c>
      <c r="H879" s="1">
        <v>36</v>
      </c>
      <c r="I879" s="1" t="s">
        <v>81</v>
      </c>
      <c r="J879" s="1">
        <f>+Table2[[#This Row],[Ventas]]/Table2[[#This Row],[Cantidad]]</f>
        <v>1693.1944444444443</v>
      </c>
      <c r="K879" s="1" t="str">
        <f>+_xlfn.IFS(Table2[[#This Row],[Ventas]]&gt;200000,"Alta", Table2[[#This Row],[Ventas]]&gt;100000,"Media",TRUE,"Bajo")</f>
        <v>Bajo</v>
      </c>
    </row>
    <row r="880" spans="1:11" x14ac:dyDescent="0.25">
      <c r="A880" s="1" t="s">
        <v>99</v>
      </c>
      <c r="B880" s="1" t="s">
        <v>123</v>
      </c>
      <c r="C880" s="1" t="s">
        <v>91</v>
      </c>
      <c r="D880" s="1" t="s">
        <v>9</v>
      </c>
      <c r="E880" s="2">
        <v>42248.457638888889</v>
      </c>
      <c r="F880" s="1" t="s">
        <v>6</v>
      </c>
      <c r="G880" s="1">
        <v>151611</v>
      </c>
      <c r="H880" s="1">
        <v>37</v>
      </c>
      <c r="I880" s="1" t="s">
        <v>80</v>
      </c>
      <c r="J880" s="1">
        <f>+Table2[[#This Row],[Ventas]]/Table2[[#This Row],[Cantidad]]</f>
        <v>4097.594594594595</v>
      </c>
      <c r="K880" s="1" t="str">
        <f>+_xlfn.IFS(Table2[[#This Row],[Ventas]]&gt;200000,"Alta", Table2[[#This Row],[Ventas]]&gt;100000,"Media",TRUE,"Bajo")</f>
        <v>Media</v>
      </c>
    </row>
    <row r="881" spans="1:11" x14ac:dyDescent="0.25">
      <c r="A881" s="1" t="s">
        <v>99</v>
      </c>
      <c r="B881" s="1" t="s">
        <v>123</v>
      </c>
      <c r="C881" s="1" t="s">
        <v>91</v>
      </c>
      <c r="D881" s="1" t="s">
        <v>9</v>
      </c>
      <c r="E881" s="2">
        <v>42248.457638888889</v>
      </c>
      <c r="F881" s="1" t="s">
        <v>6</v>
      </c>
      <c r="G881" s="1">
        <v>202204</v>
      </c>
      <c r="H881" s="1">
        <v>19</v>
      </c>
      <c r="I881" s="1" t="s">
        <v>81</v>
      </c>
      <c r="J881" s="1">
        <f>+Table2[[#This Row],[Ventas]]/Table2[[#This Row],[Cantidad]]</f>
        <v>10642.315789473685</v>
      </c>
      <c r="K881" s="1" t="str">
        <f>+_xlfn.IFS(Table2[[#This Row],[Ventas]]&gt;200000,"Alta", Table2[[#This Row],[Ventas]]&gt;100000,"Media",TRUE,"Bajo")</f>
        <v>Alta</v>
      </c>
    </row>
    <row r="882" spans="1:11" x14ac:dyDescent="0.25">
      <c r="A882" s="1" t="s">
        <v>99</v>
      </c>
      <c r="B882" s="1" t="s">
        <v>15</v>
      </c>
      <c r="C882" s="1" t="s">
        <v>92</v>
      </c>
      <c r="D882" s="1" t="s">
        <v>5</v>
      </c>
      <c r="E882" s="2">
        <v>42272.457638888889</v>
      </c>
      <c r="F882" s="1" t="s">
        <v>7</v>
      </c>
      <c r="G882" s="1">
        <v>60866</v>
      </c>
      <c r="H882" s="1">
        <v>34</v>
      </c>
      <c r="I882" s="1" t="s">
        <v>82</v>
      </c>
      <c r="J882" s="1">
        <f>+Table2[[#This Row],[Ventas]]/Table2[[#This Row],[Cantidad]]</f>
        <v>1790.1764705882354</v>
      </c>
      <c r="K882" s="1" t="str">
        <f>+_xlfn.IFS(Table2[[#This Row],[Ventas]]&gt;200000,"Alta", Table2[[#This Row],[Ventas]]&gt;100000,"Media",TRUE,"Bajo")</f>
        <v>Bajo</v>
      </c>
    </row>
    <row r="883" spans="1:11" x14ac:dyDescent="0.25">
      <c r="A883" s="1" t="s">
        <v>99</v>
      </c>
      <c r="B883" s="1" t="s">
        <v>126</v>
      </c>
      <c r="C883" s="1" t="s">
        <v>89</v>
      </c>
      <c r="D883" s="1" t="s">
        <v>9</v>
      </c>
      <c r="E883" s="2">
        <v>42277.457638888889</v>
      </c>
      <c r="F883" s="1" t="s">
        <v>6</v>
      </c>
      <c r="G883" s="1">
        <v>164202</v>
      </c>
      <c r="H883" s="1">
        <v>15</v>
      </c>
      <c r="I883" s="1" t="s">
        <v>93</v>
      </c>
      <c r="J883" s="1">
        <f>+Table2[[#This Row],[Ventas]]/Table2[[#This Row],[Cantidad]]</f>
        <v>10946.8</v>
      </c>
      <c r="K883" s="1" t="str">
        <f>+_xlfn.IFS(Table2[[#This Row],[Ventas]]&gt;200000,"Alta", Table2[[#This Row],[Ventas]]&gt;100000,"Media",TRUE,"Bajo")</f>
        <v>Media</v>
      </c>
    </row>
    <row r="884" spans="1:11" x14ac:dyDescent="0.25">
      <c r="A884" s="1" t="s">
        <v>99</v>
      </c>
      <c r="B884" s="1" t="s">
        <v>127</v>
      </c>
      <c r="C884" s="1" t="s">
        <v>87</v>
      </c>
      <c r="D884" s="1" t="s">
        <v>9</v>
      </c>
      <c r="E884" s="2">
        <v>42272.457638888889</v>
      </c>
      <c r="F884" s="1" t="s">
        <v>6</v>
      </c>
      <c r="G884" s="1">
        <v>88652</v>
      </c>
      <c r="H884" s="1">
        <v>36</v>
      </c>
      <c r="I884" s="1" t="s">
        <v>81</v>
      </c>
      <c r="J884" s="1">
        <f>+Table2[[#This Row],[Ventas]]/Table2[[#This Row],[Cantidad]]</f>
        <v>2462.5555555555557</v>
      </c>
      <c r="K884" s="1" t="str">
        <f>+_xlfn.IFS(Table2[[#This Row],[Ventas]]&gt;200000,"Alta", Table2[[#This Row],[Ventas]]&gt;100000,"Media",TRUE,"Bajo")</f>
        <v>Bajo</v>
      </c>
    </row>
    <row r="885" spans="1:11" x14ac:dyDescent="0.25">
      <c r="A885" s="1" t="s">
        <v>99</v>
      </c>
      <c r="B885" s="1" t="s">
        <v>53</v>
      </c>
      <c r="C885" s="1" t="s">
        <v>87</v>
      </c>
      <c r="D885" s="1" t="s">
        <v>9</v>
      </c>
      <c r="E885" s="2">
        <v>42263.457638888889</v>
      </c>
      <c r="F885" s="1" t="s">
        <v>6</v>
      </c>
      <c r="G885" s="1">
        <v>110701</v>
      </c>
      <c r="H885" s="1">
        <v>42</v>
      </c>
      <c r="I885" s="1" t="s">
        <v>79</v>
      </c>
      <c r="J885" s="1">
        <f>+Table2[[#This Row],[Ventas]]/Table2[[#This Row],[Cantidad]]</f>
        <v>2635.7380952380954</v>
      </c>
      <c r="K885" s="1" t="str">
        <f>+_xlfn.IFS(Table2[[#This Row],[Ventas]]&gt;200000,"Alta", Table2[[#This Row],[Ventas]]&gt;100000,"Media",TRUE,"Bajo")</f>
        <v>Media</v>
      </c>
    </row>
    <row r="886" spans="1:11" x14ac:dyDescent="0.25">
      <c r="A886" s="1" t="s">
        <v>99</v>
      </c>
      <c r="B886" s="1" t="s">
        <v>4</v>
      </c>
      <c r="C886" s="1" t="s">
        <v>88</v>
      </c>
      <c r="D886" s="1" t="s">
        <v>9</v>
      </c>
      <c r="E886" s="2">
        <v>42277.457638888889</v>
      </c>
      <c r="F886" s="1" t="s">
        <v>6</v>
      </c>
      <c r="G886" s="1">
        <v>234270</v>
      </c>
      <c r="H886" s="1">
        <v>18</v>
      </c>
      <c r="I886" s="1" t="s">
        <v>79</v>
      </c>
      <c r="J886" s="1">
        <f>+Table2[[#This Row],[Ventas]]/Table2[[#This Row],[Cantidad]]</f>
        <v>13015</v>
      </c>
      <c r="K886" s="1" t="str">
        <f>+_xlfn.IFS(Table2[[#This Row],[Ventas]]&gt;200000,"Alta", Table2[[#This Row],[Ventas]]&gt;100000,"Media",TRUE,"Bajo")</f>
        <v>Alta</v>
      </c>
    </row>
    <row r="887" spans="1:11" x14ac:dyDescent="0.25">
      <c r="A887" s="1" t="s">
        <v>99</v>
      </c>
      <c r="B887" s="1" t="s">
        <v>4</v>
      </c>
      <c r="C887" s="1" t="s">
        <v>88</v>
      </c>
      <c r="D887" s="1" t="s">
        <v>9</v>
      </c>
      <c r="E887" s="2">
        <v>42277.457638888889</v>
      </c>
      <c r="F887" s="1" t="s">
        <v>6</v>
      </c>
      <c r="G887" s="1">
        <v>214990</v>
      </c>
      <c r="H887" s="1">
        <v>16</v>
      </c>
      <c r="I887" s="1" t="s">
        <v>81</v>
      </c>
      <c r="J887" s="1">
        <f>+Table2[[#This Row],[Ventas]]/Table2[[#This Row],[Cantidad]]</f>
        <v>13436.875</v>
      </c>
      <c r="K887" s="1" t="str">
        <f>+_xlfn.IFS(Table2[[#This Row],[Ventas]]&gt;200000,"Alta", Table2[[#This Row],[Ventas]]&gt;100000,"Media",TRUE,"Bajo")</f>
        <v>Alta</v>
      </c>
    </row>
    <row r="888" spans="1:11" x14ac:dyDescent="0.25">
      <c r="A888" s="1" t="s">
        <v>99</v>
      </c>
      <c r="B888" s="1" t="s">
        <v>63</v>
      </c>
      <c r="C888" s="1" t="s">
        <v>91</v>
      </c>
      <c r="D888" s="1" t="s">
        <v>9</v>
      </c>
      <c r="E888" s="2">
        <v>42264.457638888889</v>
      </c>
      <c r="F888" s="1" t="s">
        <v>6</v>
      </c>
      <c r="G888" s="1">
        <v>123954</v>
      </c>
      <c r="H888" s="1">
        <v>29</v>
      </c>
      <c r="I888" s="1" t="s">
        <v>79</v>
      </c>
      <c r="J888" s="1">
        <f>+Table2[[#This Row],[Ventas]]/Table2[[#This Row],[Cantidad]]</f>
        <v>4274.2758620689656</v>
      </c>
      <c r="K888" s="1" t="str">
        <f>+_xlfn.IFS(Table2[[#This Row],[Ventas]]&gt;200000,"Alta", Table2[[#This Row],[Ventas]]&gt;100000,"Media",TRUE,"Bajo")</f>
        <v>Media</v>
      </c>
    </row>
    <row r="889" spans="1:11" x14ac:dyDescent="0.25">
      <c r="A889" s="1" t="s">
        <v>99</v>
      </c>
      <c r="B889" s="1" t="s">
        <v>63</v>
      </c>
      <c r="C889" s="1" t="s">
        <v>91</v>
      </c>
      <c r="D889" s="1" t="s">
        <v>9</v>
      </c>
      <c r="E889" s="2">
        <v>42264.457638888889</v>
      </c>
      <c r="F889" s="1" t="s">
        <v>6</v>
      </c>
      <c r="G889" s="1">
        <v>220017</v>
      </c>
      <c r="H889" s="1">
        <v>29</v>
      </c>
      <c r="I889" s="1" t="s">
        <v>81</v>
      </c>
      <c r="J889" s="1">
        <f>+Table2[[#This Row],[Ventas]]/Table2[[#This Row],[Cantidad]]</f>
        <v>7586.7931034482763</v>
      </c>
      <c r="K889" s="1" t="str">
        <f>+_xlfn.IFS(Table2[[#This Row],[Ventas]]&gt;200000,"Alta", Table2[[#This Row],[Ventas]]&gt;100000,"Media",TRUE,"Bajo")</f>
        <v>Alta</v>
      </c>
    </row>
    <row r="890" spans="1:11" x14ac:dyDescent="0.25">
      <c r="A890" s="1" t="s">
        <v>99</v>
      </c>
      <c r="B890" s="1" t="s">
        <v>15</v>
      </c>
      <c r="C890" s="1" t="s">
        <v>92</v>
      </c>
      <c r="D890" s="1" t="s">
        <v>5</v>
      </c>
      <c r="E890" s="2">
        <v>42272.457638888889</v>
      </c>
      <c r="F890" s="1" t="s">
        <v>7</v>
      </c>
      <c r="G890" s="1">
        <v>236382</v>
      </c>
      <c r="H890" s="1">
        <v>18</v>
      </c>
      <c r="I890" s="1" t="s">
        <v>81</v>
      </c>
      <c r="J890" s="1">
        <f>+Table2[[#This Row],[Ventas]]/Table2[[#This Row],[Cantidad]]</f>
        <v>13132.333333333334</v>
      </c>
      <c r="K890" s="1" t="str">
        <f>+_xlfn.IFS(Table2[[#This Row],[Ventas]]&gt;200000,"Alta", Table2[[#This Row],[Ventas]]&gt;100000,"Media",TRUE,"Bajo")</f>
        <v>Alta</v>
      </c>
    </row>
    <row r="891" spans="1:11" x14ac:dyDescent="0.25">
      <c r="A891" s="1" t="s">
        <v>99</v>
      </c>
      <c r="B891" s="1" t="s">
        <v>37</v>
      </c>
      <c r="C891" s="1" t="s">
        <v>91</v>
      </c>
      <c r="D891" s="1" t="s">
        <v>9</v>
      </c>
      <c r="E891" s="2">
        <v>42277.457638888889</v>
      </c>
      <c r="F891" s="1" t="s">
        <v>6</v>
      </c>
      <c r="G891" s="1">
        <v>186013</v>
      </c>
      <c r="H891" s="1">
        <v>36</v>
      </c>
      <c r="I891" s="1" t="s">
        <v>79</v>
      </c>
      <c r="J891" s="1">
        <f>+Table2[[#This Row],[Ventas]]/Table2[[#This Row],[Cantidad]]</f>
        <v>5167.0277777777774</v>
      </c>
      <c r="K891" s="1" t="str">
        <f>+_xlfn.IFS(Table2[[#This Row],[Ventas]]&gt;200000,"Alta", Table2[[#This Row],[Ventas]]&gt;100000,"Media",TRUE,"Bajo")</f>
        <v>Media</v>
      </c>
    </row>
    <row r="892" spans="1:11" x14ac:dyDescent="0.25">
      <c r="A892" s="1" t="s">
        <v>99</v>
      </c>
      <c r="B892" s="1" t="s">
        <v>70</v>
      </c>
      <c r="C892" s="1" t="s">
        <v>88</v>
      </c>
      <c r="D892" s="1" t="s">
        <v>9</v>
      </c>
      <c r="E892" s="2">
        <v>42277.457638888889</v>
      </c>
      <c r="F892" s="1" t="s">
        <v>6</v>
      </c>
      <c r="G892" s="1">
        <v>215494</v>
      </c>
      <c r="H892" s="1">
        <v>31</v>
      </c>
      <c r="I892" s="1" t="s">
        <v>81</v>
      </c>
      <c r="J892" s="1">
        <f>+Table2[[#This Row],[Ventas]]/Table2[[#This Row],[Cantidad]]</f>
        <v>6951.4193548387093</v>
      </c>
      <c r="K892" s="1" t="str">
        <f>+_xlfn.IFS(Table2[[#This Row],[Ventas]]&gt;200000,"Alta", Table2[[#This Row],[Ventas]]&gt;100000,"Media",TRUE,"Bajo")</f>
        <v>Alta</v>
      </c>
    </row>
    <row r="893" spans="1:11" x14ac:dyDescent="0.25">
      <c r="A893" s="1" t="s">
        <v>99</v>
      </c>
      <c r="B893" s="1" t="s">
        <v>109</v>
      </c>
      <c r="C893" s="1" t="s">
        <v>86</v>
      </c>
      <c r="D893" s="1" t="s">
        <v>5</v>
      </c>
      <c r="E893" s="2">
        <v>42277.457638888889</v>
      </c>
      <c r="F893" s="1" t="s">
        <v>7</v>
      </c>
      <c r="G893" s="1">
        <v>237620</v>
      </c>
      <c r="H893" s="1">
        <v>35</v>
      </c>
      <c r="I893" s="1" t="s">
        <v>82</v>
      </c>
      <c r="J893" s="1">
        <f>+Table2[[#This Row],[Ventas]]/Table2[[#This Row],[Cantidad]]</f>
        <v>6789.1428571428569</v>
      </c>
      <c r="K893" s="1" t="str">
        <f>+_xlfn.IFS(Table2[[#This Row],[Ventas]]&gt;200000,"Alta", Table2[[#This Row],[Ventas]]&gt;100000,"Media",TRUE,"Bajo")</f>
        <v>Alta</v>
      </c>
    </row>
    <row r="894" spans="1:11" x14ac:dyDescent="0.25">
      <c r="A894" s="1" t="s">
        <v>99</v>
      </c>
      <c r="B894" s="1" t="s">
        <v>122</v>
      </c>
      <c r="C894" s="1" t="s">
        <v>92</v>
      </c>
      <c r="D894" s="1" t="s">
        <v>5</v>
      </c>
      <c r="E894" s="2">
        <v>42272.457638888889</v>
      </c>
      <c r="F894" s="1" t="s">
        <v>6</v>
      </c>
      <c r="G894" s="1">
        <v>119452</v>
      </c>
      <c r="H894" s="1">
        <v>19</v>
      </c>
      <c r="I894" s="1" t="s">
        <v>93</v>
      </c>
      <c r="J894" s="1">
        <f>+Table2[[#This Row],[Ventas]]/Table2[[#This Row],[Cantidad]]</f>
        <v>6286.9473684210525</v>
      </c>
      <c r="K894" s="1" t="str">
        <f>+_xlfn.IFS(Table2[[#This Row],[Ventas]]&gt;200000,"Alta", Table2[[#This Row],[Ventas]]&gt;100000,"Media",TRUE,"Bajo")</f>
        <v>Media</v>
      </c>
    </row>
    <row r="895" spans="1:11" x14ac:dyDescent="0.25">
      <c r="A895" s="1" t="s">
        <v>99</v>
      </c>
      <c r="B895" s="1" t="s">
        <v>16</v>
      </c>
      <c r="C895" s="1" t="s">
        <v>92</v>
      </c>
      <c r="D895" s="1" t="s">
        <v>5</v>
      </c>
      <c r="E895" s="2">
        <v>42277.457638888889</v>
      </c>
      <c r="F895" s="1" t="s">
        <v>7</v>
      </c>
      <c r="G895" s="1">
        <v>229038</v>
      </c>
      <c r="H895" s="1">
        <v>17</v>
      </c>
      <c r="I895" s="1" t="s">
        <v>79</v>
      </c>
      <c r="J895" s="1">
        <f>+Table2[[#This Row],[Ventas]]/Table2[[#This Row],[Cantidad]]</f>
        <v>13472.823529411764</v>
      </c>
      <c r="K895" s="1" t="str">
        <f>+_xlfn.IFS(Table2[[#This Row],[Ventas]]&gt;200000,"Alta", Table2[[#This Row],[Ventas]]&gt;100000,"Media",TRUE,"Bajo")</f>
        <v>Alta</v>
      </c>
    </row>
    <row r="896" spans="1:11" x14ac:dyDescent="0.25">
      <c r="A896" s="1" t="s">
        <v>99</v>
      </c>
      <c r="B896" s="1" t="s">
        <v>137</v>
      </c>
      <c r="C896" s="1" t="s">
        <v>88</v>
      </c>
      <c r="D896" s="1" t="s">
        <v>9</v>
      </c>
      <c r="E896" s="2">
        <v>42277.457638888889</v>
      </c>
      <c r="F896" s="1" t="s">
        <v>12</v>
      </c>
      <c r="G896" s="1">
        <v>163268</v>
      </c>
      <c r="H896" s="1">
        <v>22</v>
      </c>
      <c r="I896" s="1" t="s">
        <v>82</v>
      </c>
      <c r="J896" s="1">
        <f>+Table2[[#This Row],[Ventas]]/Table2[[#This Row],[Cantidad]]</f>
        <v>7421.272727272727</v>
      </c>
      <c r="K896" s="1" t="str">
        <f>+_xlfn.IFS(Table2[[#This Row],[Ventas]]&gt;200000,"Alta", Table2[[#This Row],[Ventas]]&gt;100000,"Media",TRUE,"Bajo")</f>
        <v>Media</v>
      </c>
    </row>
    <row r="897" spans="1:11" x14ac:dyDescent="0.25">
      <c r="A897" s="1" t="s">
        <v>99</v>
      </c>
      <c r="B897" s="1" t="s">
        <v>132</v>
      </c>
      <c r="C897" s="1" t="s">
        <v>91</v>
      </c>
      <c r="D897" s="1" t="s">
        <v>9</v>
      </c>
      <c r="E897" s="2">
        <v>42272.457638888889</v>
      </c>
      <c r="F897" s="1" t="s">
        <v>7</v>
      </c>
      <c r="G897" s="1">
        <v>188040</v>
      </c>
      <c r="H897" s="1">
        <v>42</v>
      </c>
      <c r="I897" s="1" t="s">
        <v>82</v>
      </c>
      <c r="J897" s="1">
        <f>+Table2[[#This Row],[Ventas]]/Table2[[#This Row],[Cantidad]]</f>
        <v>4477.1428571428569</v>
      </c>
      <c r="K897" s="1" t="str">
        <f>+_xlfn.IFS(Table2[[#This Row],[Ventas]]&gt;200000,"Alta", Table2[[#This Row],[Ventas]]&gt;100000,"Media",TRUE,"Bajo")</f>
        <v>Media</v>
      </c>
    </row>
    <row r="898" spans="1:11" x14ac:dyDescent="0.25">
      <c r="A898" s="1" t="s">
        <v>99</v>
      </c>
      <c r="B898" s="1" t="s">
        <v>25</v>
      </c>
      <c r="C898" s="1" t="s">
        <v>87</v>
      </c>
      <c r="D898" s="1" t="s">
        <v>9</v>
      </c>
      <c r="E898" s="2">
        <v>42277.457638888889</v>
      </c>
      <c r="F898" s="1" t="s">
        <v>7</v>
      </c>
      <c r="G898" s="1">
        <v>56459</v>
      </c>
      <c r="H898" s="1">
        <v>40</v>
      </c>
      <c r="I898" s="1" t="s">
        <v>80</v>
      </c>
      <c r="J898" s="1">
        <f>+Table2[[#This Row],[Ventas]]/Table2[[#This Row],[Cantidad]]</f>
        <v>1411.4749999999999</v>
      </c>
      <c r="K898" s="1" t="str">
        <f>+_xlfn.IFS(Table2[[#This Row],[Ventas]]&gt;200000,"Alta", Table2[[#This Row],[Ventas]]&gt;100000,"Media",TRUE,"Bajo")</f>
        <v>Bajo</v>
      </c>
    </row>
    <row r="899" spans="1:11" x14ac:dyDescent="0.25">
      <c r="A899" s="1" t="s">
        <v>99</v>
      </c>
      <c r="B899" s="1" t="s">
        <v>37</v>
      </c>
      <c r="C899" s="1" t="s">
        <v>91</v>
      </c>
      <c r="D899" s="1" t="s">
        <v>9</v>
      </c>
      <c r="E899" s="2">
        <v>42270.457638888889</v>
      </c>
      <c r="F899" s="1" t="s">
        <v>6</v>
      </c>
      <c r="G899" s="1">
        <v>139545</v>
      </c>
      <c r="H899" s="1">
        <v>26</v>
      </c>
      <c r="I899" s="1" t="s">
        <v>81</v>
      </c>
      <c r="J899" s="1">
        <f>+Table2[[#This Row],[Ventas]]/Table2[[#This Row],[Cantidad]]</f>
        <v>5367.1153846153848</v>
      </c>
      <c r="K899" s="1" t="str">
        <f>+_xlfn.IFS(Table2[[#This Row],[Ventas]]&gt;200000,"Alta", Table2[[#This Row],[Ventas]]&gt;100000,"Media",TRUE,"Bajo")</f>
        <v>Media</v>
      </c>
    </row>
    <row r="900" spans="1:11" x14ac:dyDescent="0.25">
      <c r="A900" s="1" t="s">
        <v>99</v>
      </c>
      <c r="B900" s="1" t="s">
        <v>142</v>
      </c>
      <c r="C900" s="1" t="s">
        <v>88</v>
      </c>
      <c r="D900" s="1" t="s">
        <v>9</v>
      </c>
      <c r="E900" s="2">
        <v>42277.457638888889</v>
      </c>
      <c r="F900" s="1" t="s">
        <v>6</v>
      </c>
      <c r="G900" s="1">
        <v>177273</v>
      </c>
      <c r="H900" s="1">
        <v>19</v>
      </c>
      <c r="I900" s="1" t="s">
        <v>79</v>
      </c>
      <c r="J900" s="1">
        <f>+Table2[[#This Row],[Ventas]]/Table2[[#This Row],[Cantidad]]</f>
        <v>9330.1578947368416</v>
      </c>
      <c r="K900" s="1" t="str">
        <f>+_xlfn.IFS(Table2[[#This Row],[Ventas]]&gt;200000,"Alta", Table2[[#This Row],[Ventas]]&gt;100000,"Media",TRUE,"Bajo")</f>
        <v>Media</v>
      </c>
    </row>
    <row r="901" spans="1:11" x14ac:dyDescent="0.25">
      <c r="A901" s="1" t="s">
        <v>99</v>
      </c>
      <c r="B901" s="1" t="s">
        <v>123</v>
      </c>
      <c r="C901" s="1" t="s">
        <v>91</v>
      </c>
      <c r="D901" s="1" t="s">
        <v>9</v>
      </c>
      <c r="E901" s="2">
        <v>42248.457638888889</v>
      </c>
      <c r="F901" s="1" t="s">
        <v>6</v>
      </c>
      <c r="G901" s="1">
        <v>69135</v>
      </c>
      <c r="H901" s="1">
        <v>28</v>
      </c>
      <c r="I901" s="1" t="s">
        <v>79</v>
      </c>
      <c r="J901" s="1">
        <f>+Table2[[#This Row],[Ventas]]/Table2[[#This Row],[Cantidad]]</f>
        <v>2469.1071428571427</v>
      </c>
      <c r="K901" s="1" t="str">
        <f>+_xlfn.IFS(Table2[[#This Row],[Ventas]]&gt;200000,"Alta", Table2[[#This Row],[Ventas]]&gt;100000,"Media",TRUE,"Bajo")</f>
        <v>Bajo</v>
      </c>
    </row>
    <row r="902" spans="1:11" x14ac:dyDescent="0.25">
      <c r="A902" s="1" t="s">
        <v>99</v>
      </c>
      <c r="B902" s="1" t="s">
        <v>123</v>
      </c>
      <c r="C902" s="1" t="s">
        <v>91</v>
      </c>
      <c r="D902" s="1" t="s">
        <v>9</v>
      </c>
      <c r="E902" s="2">
        <v>42248.457638888889</v>
      </c>
      <c r="F902" s="1" t="s">
        <v>6</v>
      </c>
      <c r="G902" s="1">
        <v>63516</v>
      </c>
      <c r="H902" s="1">
        <v>32</v>
      </c>
      <c r="I902" s="1" t="s">
        <v>79</v>
      </c>
      <c r="J902" s="1">
        <f>+Table2[[#This Row],[Ventas]]/Table2[[#This Row],[Cantidad]]</f>
        <v>1984.875</v>
      </c>
      <c r="K902" s="1" t="str">
        <f>+_xlfn.IFS(Table2[[#This Row],[Ventas]]&gt;200000,"Alta", Table2[[#This Row],[Ventas]]&gt;100000,"Media",TRUE,"Bajo")</f>
        <v>Bajo</v>
      </c>
    </row>
    <row r="903" spans="1:11" x14ac:dyDescent="0.25">
      <c r="A903" s="1" t="s">
        <v>99</v>
      </c>
      <c r="B903" s="1" t="s">
        <v>63</v>
      </c>
      <c r="C903" s="1" t="s">
        <v>91</v>
      </c>
      <c r="D903" s="1" t="s">
        <v>9</v>
      </c>
      <c r="E903" s="2">
        <v>42264.457638888889</v>
      </c>
      <c r="F903" s="1" t="s">
        <v>6</v>
      </c>
      <c r="G903" s="1">
        <v>88719</v>
      </c>
      <c r="H903" s="1">
        <v>17</v>
      </c>
      <c r="I903" s="1" t="s">
        <v>79</v>
      </c>
      <c r="J903" s="1">
        <f>+Table2[[#This Row],[Ventas]]/Table2[[#This Row],[Cantidad]]</f>
        <v>5218.7647058823532</v>
      </c>
      <c r="K903" s="1" t="str">
        <f>+_xlfn.IFS(Table2[[#This Row],[Ventas]]&gt;200000,"Alta", Table2[[#This Row],[Ventas]]&gt;100000,"Media",TRUE,"Bajo")</f>
        <v>Bajo</v>
      </c>
    </row>
    <row r="904" spans="1:11" x14ac:dyDescent="0.25">
      <c r="A904" s="1" t="s">
        <v>99</v>
      </c>
      <c r="B904" s="1" t="s">
        <v>22</v>
      </c>
      <c r="C904" s="1" t="s">
        <v>88</v>
      </c>
      <c r="D904" s="1" t="s">
        <v>9</v>
      </c>
      <c r="E904" s="2">
        <v>42270.457638888889</v>
      </c>
      <c r="F904" s="1" t="s">
        <v>6</v>
      </c>
      <c r="G904" s="1">
        <v>246661</v>
      </c>
      <c r="H904" s="1">
        <v>18</v>
      </c>
      <c r="I904" s="1" t="s">
        <v>79</v>
      </c>
      <c r="J904" s="1">
        <f>+Table2[[#This Row],[Ventas]]/Table2[[#This Row],[Cantidad]]</f>
        <v>13703.388888888889</v>
      </c>
      <c r="K904" s="1" t="str">
        <f>+_xlfn.IFS(Table2[[#This Row],[Ventas]]&gt;200000,"Alta", Table2[[#This Row],[Ventas]]&gt;100000,"Media",TRUE,"Bajo")</f>
        <v>Alta</v>
      </c>
    </row>
    <row r="905" spans="1:11" x14ac:dyDescent="0.25">
      <c r="A905" s="1" t="s">
        <v>99</v>
      </c>
      <c r="B905" s="1" t="s">
        <v>11</v>
      </c>
      <c r="C905" s="1" t="s">
        <v>84</v>
      </c>
      <c r="D905" s="1" t="s">
        <v>5</v>
      </c>
      <c r="E905" s="2">
        <v>42249.457638888889</v>
      </c>
      <c r="F905" s="1" t="s">
        <v>12</v>
      </c>
      <c r="G905" s="1">
        <v>78060</v>
      </c>
      <c r="H905" s="1">
        <v>41</v>
      </c>
      <c r="I905" s="1" t="s">
        <v>82</v>
      </c>
      <c r="J905" s="1">
        <f>+Table2[[#This Row],[Ventas]]/Table2[[#This Row],[Cantidad]]</f>
        <v>1903.9024390243903</v>
      </c>
      <c r="K905" s="1" t="str">
        <f>+_xlfn.IFS(Table2[[#This Row],[Ventas]]&gt;200000,"Alta", Table2[[#This Row],[Ventas]]&gt;100000,"Media",TRUE,"Bajo")</f>
        <v>Bajo</v>
      </c>
    </row>
    <row r="906" spans="1:11" x14ac:dyDescent="0.25">
      <c r="A906" s="1" t="s">
        <v>99</v>
      </c>
      <c r="B906" s="1" t="s">
        <v>116</v>
      </c>
      <c r="C906" s="1" t="s">
        <v>88</v>
      </c>
      <c r="D906" s="1" t="s">
        <v>9</v>
      </c>
      <c r="E906" s="2">
        <v>42277.457638888889</v>
      </c>
      <c r="F906" s="1" t="s">
        <v>6</v>
      </c>
      <c r="G906" s="1">
        <v>97132</v>
      </c>
      <c r="H906" s="1">
        <v>38</v>
      </c>
      <c r="I906" s="1" t="s">
        <v>79</v>
      </c>
      <c r="J906" s="1">
        <f>+Table2[[#This Row],[Ventas]]/Table2[[#This Row],[Cantidad]]</f>
        <v>2556.1052631578946</v>
      </c>
      <c r="K906" s="1" t="str">
        <f>+_xlfn.IFS(Table2[[#This Row],[Ventas]]&gt;200000,"Alta", Table2[[#This Row],[Ventas]]&gt;100000,"Media",TRUE,"Bajo")</f>
        <v>Bajo</v>
      </c>
    </row>
    <row r="907" spans="1:11" x14ac:dyDescent="0.25">
      <c r="A907" s="1" t="s">
        <v>99</v>
      </c>
      <c r="B907" s="1" t="s">
        <v>22</v>
      </c>
      <c r="C907" s="1" t="s">
        <v>88</v>
      </c>
      <c r="D907" s="1" t="s">
        <v>9</v>
      </c>
      <c r="E907" s="2">
        <v>42270.457638888889</v>
      </c>
      <c r="F907" s="1" t="s">
        <v>6</v>
      </c>
      <c r="G907" s="1">
        <v>212403</v>
      </c>
      <c r="H907" s="1">
        <v>27</v>
      </c>
      <c r="I907" s="1" t="s">
        <v>81</v>
      </c>
      <c r="J907" s="1">
        <f>+Table2[[#This Row],[Ventas]]/Table2[[#This Row],[Cantidad]]</f>
        <v>7866.7777777777774</v>
      </c>
      <c r="K907" s="1" t="str">
        <f>+_xlfn.IFS(Table2[[#This Row],[Ventas]]&gt;200000,"Alta", Table2[[#This Row],[Ventas]]&gt;100000,"Media",TRUE,"Bajo")</f>
        <v>Alta</v>
      </c>
    </row>
    <row r="908" spans="1:11" x14ac:dyDescent="0.25">
      <c r="A908" s="1" t="s">
        <v>100</v>
      </c>
      <c r="B908" s="1" t="s">
        <v>123</v>
      </c>
      <c r="C908" s="1" t="s">
        <v>91</v>
      </c>
      <c r="D908" s="1" t="s">
        <v>9</v>
      </c>
      <c r="E908" s="2">
        <v>42248.457638888889</v>
      </c>
      <c r="F908" s="1" t="s">
        <v>6</v>
      </c>
      <c r="G908" s="1">
        <v>69112</v>
      </c>
      <c r="H908" s="1">
        <v>40</v>
      </c>
      <c r="I908" s="1" t="s">
        <v>81</v>
      </c>
      <c r="J908" s="1">
        <f>+Table2[[#This Row],[Ventas]]/Table2[[#This Row],[Cantidad]]</f>
        <v>1727.8</v>
      </c>
      <c r="K908" s="1" t="str">
        <f>+_xlfn.IFS(Table2[[#This Row],[Ventas]]&gt;200000,"Alta", Table2[[#This Row],[Ventas]]&gt;100000,"Media",TRUE,"Bajo")</f>
        <v>Bajo</v>
      </c>
    </row>
    <row r="909" spans="1:11" x14ac:dyDescent="0.25">
      <c r="A909" s="1" t="s">
        <v>100</v>
      </c>
      <c r="B909" s="1" t="s">
        <v>63</v>
      </c>
      <c r="C909" s="1" t="s">
        <v>91</v>
      </c>
      <c r="D909" s="1" t="s">
        <v>9</v>
      </c>
      <c r="E909" s="2">
        <v>42264.457638888889</v>
      </c>
      <c r="F909" s="1" t="s">
        <v>6</v>
      </c>
      <c r="G909" s="1">
        <v>235674</v>
      </c>
      <c r="H909" s="1">
        <v>17</v>
      </c>
      <c r="I909" s="1" t="s">
        <v>80</v>
      </c>
      <c r="J909" s="1">
        <f>+Table2[[#This Row],[Ventas]]/Table2[[#This Row],[Cantidad]]</f>
        <v>13863.176470588236</v>
      </c>
      <c r="K909" s="1" t="str">
        <f>+_xlfn.IFS(Table2[[#This Row],[Ventas]]&gt;200000,"Alta", Table2[[#This Row],[Ventas]]&gt;100000,"Media",TRUE,"Bajo")</f>
        <v>Alta</v>
      </c>
    </row>
    <row r="910" spans="1:11" x14ac:dyDescent="0.25">
      <c r="A910" s="1" t="s">
        <v>100</v>
      </c>
      <c r="B910" s="1" t="s">
        <v>64</v>
      </c>
      <c r="C910" s="1" t="s">
        <v>91</v>
      </c>
      <c r="D910" s="1" t="s">
        <v>9</v>
      </c>
      <c r="E910" s="2">
        <v>42271.457638888889</v>
      </c>
      <c r="F910" s="1" t="s">
        <v>6</v>
      </c>
      <c r="G910" s="1">
        <v>177093</v>
      </c>
      <c r="H910" s="1">
        <v>17</v>
      </c>
      <c r="I910" s="1" t="s">
        <v>79</v>
      </c>
      <c r="J910" s="1">
        <f>+Table2[[#This Row],[Ventas]]/Table2[[#This Row],[Cantidad]]</f>
        <v>10417.235294117647</v>
      </c>
      <c r="K910" s="1" t="str">
        <f>+_xlfn.IFS(Table2[[#This Row],[Ventas]]&gt;200000,"Alta", Table2[[#This Row],[Ventas]]&gt;100000,"Media",TRUE,"Bajo")</f>
        <v>Media</v>
      </c>
    </row>
    <row r="911" spans="1:11" x14ac:dyDescent="0.25">
      <c r="A911" s="1" t="s">
        <v>100</v>
      </c>
      <c r="B911" s="1" t="s">
        <v>69</v>
      </c>
      <c r="C911" s="1" t="s">
        <v>91</v>
      </c>
      <c r="D911" s="1" t="s">
        <v>9</v>
      </c>
      <c r="E911" s="2">
        <v>42277.457638888889</v>
      </c>
      <c r="F911" s="1" t="s">
        <v>7</v>
      </c>
      <c r="G911" s="1">
        <v>205879</v>
      </c>
      <c r="H911" s="1">
        <v>34</v>
      </c>
      <c r="I911" s="1" t="s">
        <v>80</v>
      </c>
      <c r="J911" s="1">
        <f>+Table2[[#This Row],[Ventas]]/Table2[[#This Row],[Cantidad]]</f>
        <v>6055.2647058823532</v>
      </c>
      <c r="K911" s="1" t="str">
        <f>+_xlfn.IFS(Table2[[#This Row],[Ventas]]&gt;200000,"Alta", Table2[[#This Row],[Ventas]]&gt;100000,"Media",TRUE,"Bajo")</f>
        <v>Alta</v>
      </c>
    </row>
    <row r="912" spans="1:11" x14ac:dyDescent="0.25">
      <c r="A912" s="1" t="s">
        <v>100</v>
      </c>
      <c r="B912" s="1" t="s">
        <v>4</v>
      </c>
      <c r="C912" s="1" t="s">
        <v>84</v>
      </c>
      <c r="D912" s="1" t="s">
        <v>5</v>
      </c>
      <c r="E912" s="2">
        <v>42277.457638888889</v>
      </c>
      <c r="F912" s="1" t="s">
        <v>7</v>
      </c>
      <c r="G912" s="1">
        <v>116209</v>
      </c>
      <c r="H912" s="1">
        <v>33</v>
      </c>
      <c r="I912" s="1" t="s">
        <v>82</v>
      </c>
      <c r="J912" s="1">
        <f>+Table2[[#This Row],[Ventas]]/Table2[[#This Row],[Cantidad]]</f>
        <v>3521.4848484848485</v>
      </c>
      <c r="K912" s="1" t="str">
        <f>+_xlfn.IFS(Table2[[#This Row],[Ventas]]&gt;200000,"Alta", Table2[[#This Row],[Ventas]]&gt;100000,"Media",TRUE,"Bajo")</f>
        <v>Media</v>
      </c>
    </row>
    <row r="913" spans="1:11" x14ac:dyDescent="0.25">
      <c r="A913" s="1" t="s">
        <v>100</v>
      </c>
      <c r="B913" s="1" t="s">
        <v>118</v>
      </c>
      <c r="C913" s="1" t="s">
        <v>92</v>
      </c>
      <c r="D913" s="1" t="s">
        <v>5</v>
      </c>
      <c r="E913" s="2">
        <v>42272.457638888889</v>
      </c>
      <c r="F913" s="1" t="s">
        <v>7</v>
      </c>
      <c r="G913" s="1">
        <v>93476</v>
      </c>
      <c r="H913" s="1">
        <v>36</v>
      </c>
      <c r="I913" s="1" t="s">
        <v>79</v>
      </c>
      <c r="J913" s="1">
        <f>+Table2[[#This Row],[Ventas]]/Table2[[#This Row],[Cantidad]]</f>
        <v>2596.5555555555557</v>
      </c>
      <c r="K913" s="1" t="str">
        <f>+_xlfn.IFS(Table2[[#This Row],[Ventas]]&gt;200000,"Alta", Table2[[#This Row],[Ventas]]&gt;100000,"Media",TRUE,"Bajo")</f>
        <v>Bajo</v>
      </c>
    </row>
    <row r="914" spans="1:11" x14ac:dyDescent="0.25">
      <c r="A914" s="1" t="s">
        <v>100</v>
      </c>
      <c r="B914" s="1" t="s">
        <v>63</v>
      </c>
      <c r="C914" s="1" t="s">
        <v>91</v>
      </c>
      <c r="D914" s="1" t="s">
        <v>9</v>
      </c>
      <c r="E914" s="2">
        <v>42264.457638888889</v>
      </c>
      <c r="F914" s="1" t="s">
        <v>6</v>
      </c>
      <c r="G914" s="1">
        <v>142317</v>
      </c>
      <c r="H914" s="1">
        <v>39</v>
      </c>
      <c r="I914" s="1" t="s">
        <v>79</v>
      </c>
      <c r="J914" s="1">
        <f>+Table2[[#This Row],[Ventas]]/Table2[[#This Row],[Cantidad]]</f>
        <v>3649.1538461538462</v>
      </c>
      <c r="K914" s="1" t="str">
        <f>+_xlfn.IFS(Table2[[#This Row],[Ventas]]&gt;200000,"Alta", Table2[[#This Row],[Ventas]]&gt;100000,"Media",TRUE,"Bajo")</f>
        <v>Media</v>
      </c>
    </row>
    <row r="915" spans="1:11" x14ac:dyDescent="0.25">
      <c r="A915" s="1" t="s">
        <v>100</v>
      </c>
      <c r="B915" s="1" t="s">
        <v>15</v>
      </c>
      <c r="C915" s="1" t="s">
        <v>92</v>
      </c>
      <c r="D915" s="1" t="s">
        <v>5</v>
      </c>
      <c r="E915" s="2">
        <v>42272.457638888889</v>
      </c>
      <c r="F915" s="1" t="s">
        <v>7</v>
      </c>
      <c r="G915" s="1">
        <v>246301</v>
      </c>
      <c r="H915" s="1">
        <v>37</v>
      </c>
      <c r="I915" s="1" t="s">
        <v>81</v>
      </c>
      <c r="J915" s="1">
        <f>+Table2[[#This Row],[Ventas]]/Table2[[#This Row],[Cantidad]]</f>
        <v>6656.7837837837842</v>
      </c>
      <c r="K915" s="1" t="str">
        <f>+_xlfn.IFS(Table2[[#This Row],[Ventas]]&gt;200000,"Alta", Table2[[#This Row],[Ventas]]&gt;100000,"Media",TRUE,"Bajo")</f>
        <v>Alta</v>
      </c>
    </row>
    <row r="916" spans="1:11" x14ac:dyDescent="0.25">
      <c r="A916" s="1" t="s">
        <v>100</v>
      </c>
      <c r="B916" s="1" t="s">
        <v>146</v>
      </c>
      <c r="C916" s="1" t="s">
        <v>86</v>
      </c>
      <c r="D916" s="1" t="s">
        <v>9</v>
      </c>
      <c r="E916" s="2">
        <v>42270.457638888889</v>
      </c>
      <c r="F916" s="1" t="s">
        <v>10</v>
      </c>
      <c r="G916" s="1">
        <v>246738</v>
      </c>
      <c r="H916" s="1">
        <v>26</v>
      </c>
      <c r="I916" s="1" t="s">
        <v>80</v>
      </c>
      <c r="J916" s="1">
        <f>+Table2[[#This Row],[Ventas]]/Table2[[#This Row],[Cantidad]]</f>
        <v>9489.9230769230762</v>
      </c>
      <c r="K916" s="1" t="str">
        <f>+_xlfn.IFS(Table2[[#This Row],[Ventas]]&gt;200000,"Alta", Table2[[#This Row],[Ventas]]&gt;100000,"Media",TRUE,"Bajo")</f>
        <v>Alta</v>
      </c>
    </row>
    <row r="917" spans="1:11" x14ac:dyDescent="0.25">
      <c r="A917" s="1" t="s">
        <v>100</v>
      </c>
      <c r="B917" s="1" t="s">
        <v>24</v>
      </c>
      <c r="C917" s="1" t="s">
        <v>86</v>
      </c>
      <c r="D917" s="1" t="s">
        <v>5</v>
      </c>
      <c r="E917" s="2">
        <v>42275.457638888889</v>
      </c>
      <c r="F917" s="1" t="s">
        <v>6</v>
      </c>
      <c r="G917" s="1">
        <v>70209</v>
      </c>
      <c r="H917" s="1">
        <v>30</v>
      </c>
      <c r="I917" s="1" t="s">
        <v>93</v>
      </c>
      <c r="J917" s="1">
        <f>+Table2[[#This Row],[Ventas]]/Table2[[#This Row],[Cantidad]]</f>
        <v>2340.3000000000002</v>
      </c>
      <c r="K917" s="1" t="str">
        <f>+_xlfn.IFS(Table2[[#This Row],[Ventas]]&gt;200000,"Alta", Table2[[#This Row],[Ventas]]&gt;100000,"Media",TRUE,"Bajo")</f>
        <v>Bajo</v>
      </c>
    </row>
    <row r="918" spans="1:11" x14ac:dyDescent="0.25">
      <c r="A918" s="1" t="s">
        <v>100</v>
      </c>
      <c r="B918" s="1" t="s">
        <v>34</v>
      </c>
      <c r="C918" s="1" t="s">
        <v>87</v>
      </c>
      <c r="D918" s="1" t="s">
        <v>9</v>
      </c>
      <c r="E918" s="2">
        <v>42268.457638888889</v>
      </c>
      <c r="F918" s="1" t="s">
        <v>6</v>
      </c>
      <c r="G918" s="1">
        <v>203127</v>
      </c>
      <c r="H918" s="1">
        <v>33</v>
      </c>
      <c r="I918" s="1" t="s">
        <v>81</v>
      </c>
      <c r="J918" s="1">
        <f>+Table2[[#This Row],[Ventas]]/Table2[[#This Row],[Cantidad]]</f>
        <v>6155.363636363636</v>
      </c>
      <c r="K918" s="1" t="str">
        <f>+_xlfn.IFS(Table2[[#This Row],[Ventas]]&gt;200000,"Alta", Table2[[#This Row],[Ventas]]&gt;100000,"Media",TRUE,"Bajo")</f>
        <v>Alta</v>
      </c>
    </row>
    <row r="919" spans="1:11" x14ac:dyDescent="0.25">
      <c r="A919" s="1" t="s">
        <v>100</v>
      </c>
      <c r="B919" s="1" t="s">
        <v>29</v>
      </c>
      <c r="C919" s="1" t="s">
        <v>91</v>
      </c>
      <c r="D919" s="1" t="s">
        <v>9</v>
      </c>
      <c r="E919" s="2">
        <v>42262.457638888889</v>
      </c>
      <c r="F919" s="1" t="s">
        <v>6</v>
      </c>
      <c r="G919" s="1">
        <v>149228</v>
      </c>
      <c r="H919" s="1">
        <v>22</v>
      </c>
      <c r="I919" s="1" t="s">
        <v>80</v>
      </c>
      <c r="J919" s="1">
        <f>+Table2[[#This Row],[Ventas]]/Table2[[#This Row],[Cantidad]]</f>
        <v>6783.090909090909</v>
      </c>
      <c r="K919" s="1" t="str">
        <f>+_xlfn.IFS(Table2[[#This Row],[Ventas]]&gt;200000,"Alta", Table2[[#This Row],[Ventas]]&gt;100000,"Media",TRUE,"Bajo")</f>
        <v>Media</v>
      </c>
    </row>
    <row r="920" spans="1:11" x14ac:dyDescent="0.25">
      <c r="A920" s="1" t="s">
        <v>100</v>
      </c>
      <c r="B920" s="1" t="s">
        <v>126</v>
      </c>
      <c r="C920" s="1" t="s">
        <v>87</v>
      </c>
      <c r="D920" s="1" t="s">
        <v>9</v>
      </c>
      <c r="E920" s="2">
        <v>42262.457638888889</v>
      </c>
      <c r="F920" s="1" t="s">
        <v>6</v>
      </c>
      <c r="G920" s="1">
        <v>118715</v>
      </c>
      <c r="H920" s="1">
        <v>33</v>
      </c>
      <c r="I920" s="1" t="s">
        <v>80</v>
      </c>
      <c r="J920" s="1">
        <f>+Table2[[#This Row],[Ventas]]/Table2[[#This Row],[Cantidad]]</f>
        <v>3597.4242424242425</v>
      </c>
      <c r="K920" s="1" t="str">
        <f>+_xlfn.IFS(Table2[[#This Row],[Ventas]]&gt;200000,"Alta", Table2[[#This Row],[Ventas]]&gt;100000,"Media",TRUE,"Bajo")</f>
        <v>Media</v>
      </c>
    </row>
    <row r="921" spans="1:11" x14ac:dyDescent="0.25">
      <c r="A921" s="1" t="s">
        <v>100</v>
      </c>
      <c r="B921" s="1" t="s">
        <v>63</v>
      </c>
      <c r="C921" s="1" t="s">
        <v>91</v>
      </c>
      <c r="D921" s="1" t="s">
        <v>9</v>
      </c>
      <c r="E921" s="2">
        <v>42264.457638888889</v>
      </c>
      <c r="F921" s="1" t="s">
        <v>6</v>
      </c>
      <c r="G921" s="1">
        <v>223565</v>
      </c>
      <c r="H921" s="1">
        <v>42</v>
      </c>
      <c r="I921" s="1" t="s">
        <v>79</v>
      </c>
      <c r="J921" s="1">
        <f>+Table2[[#This Row],[Ventas]]/Table2[[#This Row],[Cantidad]]</f>
        <v>5322.9761904761908</v>
      </c>
      <c r="K921" s="1" t="str">
        <f>+_xlfn.IFS(Table2[[#This Row],[Ventas]]&gt;200000,"Alta", Table2[[#This Row],[Ventas]]&gt;100000,"Media",TRUE,"Bajo")</f>
        <v>Alta</v>
      </c>
    </row>
    <row r="922" spans="1:11" x14ac:dyDescent="0.25">
      <c r="A922" s="1" t="s">
        <v>100</v>
      </c>
      <c r="B922" s="1" t="s">
        <v>63</v>
      </c>
      <c r="C922" s="1" t="s">
        <v>91</v>
      </c>
      <c r="D922" s="1" t="s">
        <v>9</v>
      </c>
      <c r="E922" s="2">
        <v>42264.457638888889</v>
      </c>
      <c r="F922" s="1" t="s">
        <v>6</v>
      </c>
      <c r="G922" s="1">
        <v>217457</v>
      </c>
      <c r="H922" s="1">
        <v>18</v>
      </c>
      <c r="I922" s="1" t="s">
        <v>79</v>
      </c>
      <c r="J922" s="1">
        <f>+Table2[[#This Row],[Ventas]]/Table2[[#This Row],[Cantidad]]</f>
        <v>12080.944444444445</v>
      </c>
      <c r="K922" s="1" t="str">
        <f>+_xlfn.IFS(Table2[[#This Row],[Ventas]]&gt;200000,"Alta", Table2[[#This Row],[Ventas]]&gt;100000,"Media",TRUE,"Bajo")</f>
        <v>Alta</v>
      </c>
    </row>
    <row r="923" spans="1:11" x14ac:dyDescent="0.25">
      <c r="A923" s="1" t="s">
        <v>100</v>
      </c>
      <c r="B923" s="1" t="s">
        <v>63</v>
      </c>
      <c r="C923" s="1" t="s">
        <v>91</v>
      </c>
      <c r="D923" s="1" t="s">
        <v>9</v>
      </c>
      <c r="E923" s="2">
        <v>42264.457638888889</v>
      </c>
      <c r="F923" s="1" t="s">
        <v>6</v>
      </c>
      <c r="G923" s="1">
        <v>215492</v>
      </c>
      <c r="H923" s="1">
        <v>15</v>
      </c>
      <c r="I923" s="1" t="s">
        <v>79</v>
      </c>
      <c r="J923" s="1">
        <f>+Table2[[#This Row],[Ventas]]/Table2[[#This Row],[Cantidad]]</f>
        <v>14366.133333333333</v>
      </c>
      <c r="K923" s="1" t="str">
        <f>+_xlfn.IFS(Table2[[#This Row],[Ventas]]&gt;200000,"Alta", Table2[[#This Row],[Ventas]]&gt;100000,"Media",TRUE,"Bajo")</f>
        <v>Alta</v>
      </c>
    </row>
    <row r="924" spans="1:11" x14ac:dyDescent="0.25">
      <c r="A924" s="1" t="s">
        <v>100</v>
      </c>
      <c r="B924" s="1" t="s">
        <v>124</v>
      </c>
      <c r="C924" s="1" t="s">
        <v>92</v>
      </c>
      <c r="D924" s="1" t="s">
        <v>5</v>
      </c>
      <c r="E924" s="2">
        <v>42277.457638888889</v>
      </c>
      <c r="F924" s="1" t="s">
        <v>7</v>
      </c>
      <c r="G924" s="1">
        <v>245319</v>
      </c>
      <c r="H924" s="1">
        <v>21</v>
      </c>
      <c r="I924" s="1" t="s">
        <v>81</v>
      </c>
      <c r="J924" s="1">
        <f>+Table2[[#This Row],[Ventas]]/Table2[[#This Row],[Cantidad]]</f>
        <v>11681.857142857143</v>
      </c>
      <c r="K924" s="1" t="str">
        <f>+_xlfn.IFS(Table2[[#This Row],[Ventas]]&gt;200000,"Alta", Table2[[#This Row],[Ventas]]&gt;100000,"Media",TRUE,"Bajo")</f>
        <v>Alta</v>
      </c>
    </row>
    <row r="925" spans="1:11" x14ac:dyDescent="0.25">
      <c r="A925" s="1" t="s">
        <v>100</v>
      </c>
      <c r="B925" s="1" t="s">
        <v>22</v>
      </c>
      <c r="C925" s="1" t="s">
        <v>88</v>
      </c>
      <c r="D925" s="1" t="s">
        <v>9</v>
      </c>
      <c r="E925" s="2">
        <v>42270.457638888889</v>
      </c>
      <c r="F925" s="1" t="s">
        <v>6</v>
      </c>
      <c r="G925" s="1">
        <v>104265</v>
      </c>
      <c r="H925" s="1">
        <v>36</v>
      </c>
      <c r="I925" s="1" t="s">
        <v>81</v>
      </c>
      <c r="J925" s="1">
        <f>+Table2[[#This Row],[Ventas]]/Table2[[#This Row],[Cantidad]]</f>
        <v>2896.25</v>
      </c>
      <c r="K925" s="1" t="str">
        <f>+_xlfn.IFS(Table2[[#This Row],[Ventas]]&gt;200000,"Alta", Table2[[#This Row],[Ventas]]&gt;100000,"Media",TRUE,"Bajo")</f>
        <v>Media</v>
      </c>
    </row>
    <row r="926" spans="1:11" x14ac:dyDescent="0.25">
      <c r="A926" s="1" t="s">
        <v>100</v>
      </c>
      <c r="B926" s="1" t="s">
        <v>141</v>
      </c>
      <c r="C926" s="1" t="s">
        <v>86</v>
      </c>
      <c r="D926" s="1" t="s">
        <v>5</v>
      </c>
      <c r="E926" s="2">
        <v>42262.457638888889</v>
      </c>
      <c r="F926" s="1" t="s">
        <v>7</v>
      </c>
      <c r="G926" s="1">
        <v>234136</v>
      </c>
      <c r="H926" s="1">
        <v>15</v>
      </c>
      <c r="I926" s="1" t="s">
        <v>82</v>
      </c>
      <c r="J926" s="1">
        <f>+Table2[[#This Row],[Ventas]]/Table2[[#This Row],[Cantidad]]</f>
        <v>15609.066666666668</v>
      </c>
      <c r="K926" s="1" t="str">
        <f>+_xlfn.IFS(Table2[[#This Row],[Ventas]]&gt;200000,"Alta", Table2[[#This Row],[Ventas]]&gt;100000,"Media",TRUE,"Bajo")</f>
        <v>Alta</v>
      </c>
    </row>
    <row r="927" spans="1:11" x14ac:dyDescent="0.25">
      <c r="A927" s="1" t="s">
        <v>100</v>
      </c>
      <c r="B927" s="1" t="s">
        <v>146</v>
      </c>
      <c r="C927" s="1" t="s">
        <v>86</v>
      </c>
      <c r="D927" s="1" t="s">
        <v>9</v>
      </c>
      <c r="E927" s="2">
        <v>42270.457638888889</v>
      </c>
      <c r="F927" s="1" t="s">
        <v>10</v>
      </c>
      <c r="G927" s="1">
        <v>114323</v>
      </c>
      <c r="H927" s="1">
        <v>20</v>
      </c>
      <c r="I927" s="1" t="s">
        <v>79</v>
      </c>
      <c r="J927" s="1">
        <f>+Table2[[#This Row],[Ventas]]/Table2[[#This Row],[Cantidad]]</f>
        <v>5716.15</v>
      </c>
      <c r="K927" s="1" t="str">
        <f>+_xlfn.IFS(Table2[[#This Row],[Ventas]]&gt;200000,"Alta", Table2[[#This Row],[Ventas]]&gt;100000,"Media",TRUE,"Bajo")</f>
        <v>Media</v>
      </c>
    </row>
    <row r="928" spans="1:11" x14ac:dyDescent="0.25">
      <c r="A928" s="1" t="s">
        <v>100</v>
      </c>
      <c r="B928" s="1" t="s">
        <v>63</v>
      </c>
      <c r="C928" s="1" t="s">
        <v>91</v>
      </c>
      <c r="D928" s="1" t="s">
        <v>9</v>
      </c>
      <c r="E928" s="2">
        <v>42264.457638888889</v>
      </c>
      <c r="F928" s="1" t="s">
        <v>6</v>
      </c>
      <c r="G928" s="1">
        <v>65032</v>
      </c>
      <c r="H928" s="1">
        <v>21</v>
      </c>
      <c r="I928" s="1" t="s">
        <v>79</v>
      </c>
      <c r="J928" s="1">
        <f>+Table2[[#This Row],[Ventas]]/Table2[[#This Row],[Cantidad]]</f>
        <v>3096.7619047619046</v>
      </c>
      <c r="K928" s="1" t="str">
        <f>+_xlfn.IFS(Table2[[#This Row],[Ventas]]&gt;200000,"Alta", Table2[[#This Row],[Ventas]]&gt;100000,"Media",TRUE,"Bajo")</f>
        <v>Bajo</v>
      </c>
    </row>
    <row r="929" spans="1:11" x14ac:dyDescent="0.25">
      <c r="A929" s="1" t="s">
        <v>100</v>
      </c>
      <c r="B929" s="1" t="s">
        <v>110</v>
      </c>
      <c r="C929" s="1" t="s">
        <v>92</v>
      </c>
      <c r="D929" s="1" t="s">
        <v>5</v>
      </c>
      <c r="E929" s="2">
        <v>42277.457638888889</v>
      </c>
      <c r="F929" s="1" t="s">
        <v>6</v>
      </c>
      <c r="G929" s="1">
        <v>143315</v>
      </c>
      <c r="H929" s="1">
        <v>15</v>
      </c>
      <c r="I929" s="1" t="s">
        <v>82</v>
      </c>
      <c r="J929" s="1">
        <f>+Table2[[#This Row],[Ventas]]/Table2[[#This Row],[Cantidad]]</f>
        <v>9554.3333333333339</v>
      </c>
      <c r="K929" s="1" t="str">
        <f>+_xlfn.IFS(Table2[[#This Row],[Ventas]]&gt;200000,"Alta", Table2[[#This Row],[Ventas]]&gt;100000,"Media",TRUE,"Bajo")</f>
        <v>Media</v>
      </c>
    </row>
    <row r="930" spans="1:11" x14ac:dyDescent="0.25">
      <c r="A930" s="1" t="s">
        <v>100</v>
      </c>
      <c r="B930" s="1" t="s">
        <v>115</v>
      </c>
      <c r="C930" s="1" t="s">
        <v>91</v>
      </c>
      <c r="D930" s="1" t="s">
        <v>9</v>
      </c>
      <c r="E930" s="2">
        <v>42262.457638888889</v>
      </c>
      <c r="F930" s="1" t="s">
        <v>6</v>
      </c>
      <c r="G930" s="1">
        <v>121533</v>
      </c>
      <c r="H930" s="1">
        <v>23</v>
      </c>
      <c r="I930" s="1" t="s">
        <v>80</v>
      </c>
      <c r="J930" s="1">
        <f>+Table2[[#This Row],[Ventas]]/Table2[[#This Row],[Cantidad]]</f>
        <v>5284.04347826087</v>
      </c>
      <c r="K930" s="1" t="str">
        <f>+_xlfn.IFS(Table2[[#This Row],[Ventas]]&gt;200000,"Alta", Table2[[#This Row],[Ventas]]&gt;100000,"Media",TRUE,"Bajo")</f>
        <v>Media</v>
      </c>
    </row>
    <row r="931" spans="1:11" x14ac:dyDescent="0.25">
      <c r="A931" s="1" t="s">
        <v>101</v>
      </c>
      <c r="B931" s="1" t="s">
        <v>120</v>
      </c>
      <c r="C931" s="1" t="s">
        <v>88</v>
      </c>
      <c r="D931" s="1" t="s">
        <v>9</v>
      </c>
      <c r="E931" s="2">
        <v>42272.457638888889</v>
      </c>
      <c r="F931" s="1" t="s">
        <v>6</v>
      </c>
      <c r="G931" s="1">
        <v>203453</v>
      </c>
      <c r="H931" s="1">
        <v>30</v>
      </c>
      <c r="I931" s="1" t="s">
        <v>81</v>
      </c>
      <c r="J931" s="1">
        <f>+Table2[[#This Row],[Ventas]]/Table2[[#This Row],[Cantidad]]</f>
        <v>6781.7666666666664</v>
      </c>
      <c r="K931" s="1" t="str">
        <f>+_xlfn.IFS(Table2[[#This Row],[Ventas]]&gt;200000,"Alta", Table2[[#This Row],[Ventas]]&gt;100000,"Media",TRUE,"Bajo")</f>
        <v>Alta</v>
      </c>
    </row>
    <row r="932" spans="1:11" x14ac:dyDescent="0.25">
      <c r="A932" s="1" t="s">
        <v>101</v>
      </c>
      <c r="B932" s="1" t="s">
        <v>118</v>
      </c>
      <c r="C932" s="1" t="s">
        <v>92</v>
      </c>
      <c r="D932" s="1" t="s">
        <v>5</v>
      </c>
      <c r="E932" s="2">
        <v>42272.457638888889</v>
      </c>
      <c r="F932" s="1" t="s">
        <v>7</v>
      </c>
      <c r="G932" s="1">
        <v>227032</v>
      </c>
      <c r="H932" s="1">
        <v>17</v>
      </c>
      <c r="I932" s="1" t="s">
        <v>81</v>
      </c>
      <c r="J932" s="1">
        <f>+Table2[[#This Row],[Ventas]]/Table2[[#This Row],[Cantidad]]</f>
        <v>13354.823529411764</v>
      </c>
      <c r="K932" s="1" t="str">
        <f>+_xlfn.IFS(Table2[[#This Row],[Ventas]]&gt;200000,"Alta", Table2[[#This Row],[Ventas]]&gt;100000,"Media",TRUE,"Bajo")</f>
        <v>Alta</v>
      </c>
    </row>
    <row r="933" spans="1:11" x14ac:dyDescent="0.25">
      <c r="A933" s="1" t="s">
        <v>101</v>
      </c>
      <c r="B933" s="1" t="s">
        <v>141</v>
      </c>
      <c r="C933" s="1" t="s">
        <v>91</v>
      </c>
      <c r="D933" s="1" t="s">
        <v>9</v>
      </c>
      <c r="E933" s="2">
        <v>42262.457638888889</v>
      </c>
      <c r="F933" s="1" t="s">
        <v>6</v>
      </c>
      <c r="G933" s="1">
        <v>81059</v>
      </c>
      <c r="H933" s="1">
        <v>32</v>
      </c>
      <c r="I933" s="1" t="s">
        <v>80</v>
      </c>
      <c r="J933" s="1">
        <f>+Table2[[#This Row],[Ventas]]/Table2[[#This Row],[Cantidad]]</f>
        <v>2533.09375</v>
      </c>
      <c r="K933" s="1" t="str">
        <f>+_xlfn.IFS(Table2[[#This Row],[Ventas]]&gt;200000,"Alta", Table2[[#This Row],[Ventas]]&gt;100000,"Media",TRUE,"Bajo")</f>
        <v>Bajo</v>
      </c>
    </row>
    <row r="934" spans="1:11" x14ac:dyDescent="0.25">
      <c r="A934" s="1" t="s">
        <v>101</v>
      </c>
      <c r="B934" s="1" t="s">
        <v>142</v>
      </c>
      <c r="C934" s="1" t="s">
        <v>88</v>
      </c>
      <c r="D934" s="1" t="s">
        <v>9</v>
      </c>
      <c r="E934" s="2">
        <v>42277.457638888889</v>
      </c>
      <c r="F934" s="1" t="s">
        <v>6</v>
      </c>
      <c r="G934" s="1">
        <v>142751</v>
      </c>
      <c r="H934" s="1">
        <v>32</v>
      </c>
      <c r="I934" s="1" t="s">
        <v>79</v>
      </c>
      <c r="J934" s="1">
        <f>+Table2[[#This Row],[Ventas]]/Table2[[#This Row],[Cantidad]]</f>
        <v>4460.96875</v>
      </c>
      <c r="K934" s="1" t="str">
        <f>+_xlfn.IFS(Table2[[#This Row],[Ventas]]&gt;200000,"Alta", Table2[[#This Row],[Ventas]]&gt;100000,"Media",TRUE,"Bajo")</f>
        <v>Media</v>
      </c>
    </row>
    <row r="935" spans="1:11" x14ac:dyDescent="0.25">
      <c r="A935" s="1" t="s">
        <v>101</v>
      </c>
      <c r="B935" s="1" t="s">
        <v>63</v>
      </c>
      <c r="C935" s="1" t="s">
        <v>91</v>
      </c>
      <c r="D935" s="1" t="s">
        <v>9</v>
      </c>
      <c r="E935" s="2">
        <v>42264.457638888889</v>
      </c>
      <c r="F935" s="1" t="s">
        <v>6</v>
      </c>
      <c r="G935" s="1">
        <v>179217</v>
      </c>
      <c r="H935" s="1">
        <v>17</v>
      </c>
      <c r="I935" s="1" t="s">
        <v>79</v>
      </c>
      <c r="J935" s="1">
        <f>+Table2[[#This Row],[Ventas]]/Table2[[#This Row],[Cantidad]]</f>
        <v>10542.176470588236</v>
      </c>
      <c r="K935" s="1" t="str">
        <f>+_xlfn.IFS(Table2[[#This Row],[Ventas]]&gt;200000,"Alta", Table2[[#This Row],[Ventas]]&gt;100000,"Media",TRUE,"Bajo")</f>
        <v>Media</v>
      </c>
    </row>
    <row r="936" spans="1:11" x14ac:dyDescent="0.25">
      <c r="A936" s="1" t="s">
        <v>101</v>
      </c>
      <c r="B936" s="1" t="s">
        <v>4</v>
      </c>
      <c r="C936" s="1" t="s">
        <v>84</v>
      </c>
      <c r="D936" s="1" t="s">
        <v>5</v>
      </c>
      <c r="E936" s="2">
        <v>42277.457638888889</v>
      </c>
      <c r="F936" s="1" t="s">
        <v>7</v>
      </c>
      <c r="G936" s="1">
        <v>84596</v>
      </c>
      <c r="H936" s="1">
        <v>38</v>
      </c>
      <c r="I936" s="1" t="s">
        <v>81</v>
      </c>
      <c r="J936" s="1">
        <f>+Table2[[#This Row],[Ventas]]/Table2[[#This Row],[Cantidad]]</f>
        <v>2226.2105263157896</v>
      </c>
      <c r="K936" s="1" t="str">
        <f>+_xlfn.IFS(Table2[[#This Row],[Ventas]]&gt;200000,"Alta", Table2[[#This Row],[Ventas]]&gt;100000,"Media",TRUE,"Bajo")</f>
        <v>Bajo</v>
      </c>
    </row>
    <row r="937" spans="1:11" x14ac:dyDescent="0.25">
      <c r="A937" s="1" t="s">
        <v>101</v>
      </c>
      <c r="B937" s="1" t="s">
        <v>37</v>
      </c>
      <c r="C937" s="1" t="s">
        <v>91</v>
      </c>
      <c r="D937" s="1" t="s">
        <v>9</v>
      </c>
      <c r="E937" s="2">
        <v>42277.457638888889</v>
      </c>
      <c r="F937" s="1" t="s">
        <v>6</v>
      </c>
      <c r="G937" s="1">
        <v>215842</v>
      </c>
      <c r="H937" s="1">
        <v>37</v>
      </c>
      <c r="I937" s="1" t="s">
        <v>81</v>
      </c>
      <c r="J937" s="1">
        <f>+Table2[[#This Row],[Ventas]]/Table2[[#This Row],[Cantidad]]</f>
        <v>5833.5675675675675</v>
      </c>
      <c r="K937" s="1" t="str">
        <f>+_xlfn.IFS(Table2[[#This Row],[Ventas]]&gt;200000,"Alta", Table2[[#This Row],[Ventas]]&gt;100000,"Media",TRUE,"Bajo")</f>
        <v>Alta</v>
      </c>
    </row>
    <row r="938" spans="1:11" x14ac:dyDescent="0.25">
      <c r="A938" s="1" t="s">
        <v>101</v>
      </c>
      <c r="B938" s="1" t="s">
        <v>22</v>
      </c>
      <c r="C938" s="1" t="s">
        <v>88</v>
      </c>
      <c r="D938" s="1" t="s">
        <v>9</v>
      </c>
      <c r="E938" s="2">
        <v>42270.457638888889</v>
      </c>
      <c r="F938" s="1" t="s">
        <v>6</v>
      </c>
      <c r="G938" s="1">
        <v>246658</v>
      </c>
      <c r="H938" s="1">
        <v>20</v>
      </c>
      <c r="I938" s="1" t="s">
        <v>81</v>
      </c>
      <c r="J938" s="1">
        <f>+Table2[[#This Row],[Ventas]]/Table2[[#This Row],[Cantidad]]</f>
        <v>12332.9</v>
      </c>
      <c r="K938" s="1" t="str">
        <f>+_xlfn.IFS(Table2[[#This Row],[Ventas]]&gt;200000,"Alta", Table2[[#This Row],[Ventas]]&gt;100000,"Media",TRUE,"Bajo")</f>
        <v>Alta</v>
      </c>
    </row>
    <row r="939" spans="1:11" x14ac:dyDescent="0.25">
      <c r="A939" s="1" t="s">
        <v>101</v>
      </c>
      <c r="B939" s="1" t="s">
        <v>123</v>
      </c>
      <c r="C939" s="1" t="s">
        <v>91</v>
      </c>
      <c r="D939" s="1" t="s">
        <v>9</v>
      </c>
      <c r="E939" s="2">
        <v>42248.457638888889</v>
      </c>
      <c r="F939" s="1" t="s">
        <v>6</v>
      </c>
      <c r="G939" s="1">
        <v>76492</v>
      </c>
      <c r="H939" s="1">
        <v>28</v>
      </c>
      <c r="I939" s="1" t="s">
        <v>79</v>
      </c>
      <c r="J939" s="1">
        <f>+Table2[[#This Row],[Ventas]]/Table2[[#This Row],[Cantidad]]</f>
        <v>2731.8571428571427</v>
      </c>
      <c r="K939" s="1" t="str">
        <f>+_xlfn.IFS(Table2[[#This Row],[Ventas]]&gt;200000,"Alta", Table2[[#This Row],[Ventas]]&gt;100000,"Media",TRUE,"Bajo")</f>
        <v>Bajo</v>
      </c>
    </row>
    <row r="940" spans="1:11" x14ac:dyDescent="0.25">
      <c r="A940" s="1" t="s">
        <v>101</v>
      </c>
      <c r="B940" s="1" t="s">
        <v>123</v>
      </c>
      <c r="C940" s="1" t="s">
        <v>91</v>
      </c>
      <c r="D940" s="1" t="s">
        <v>9</v>
      </c>
      <c r="E940" s="2">
        <v>42248.457638888889</v>
      </c>
      <c r="F940" s="1" t="s">
        <v>6</v>
      </c>
      <c r="G940" s="1">
        <v>194703</v>
      </c>
      <c r="H940" s="1">
        <v>21</v>
      </c>
      <c r="I940" s="1" t="s">
        <v>79</v>
      </c>
      <c r="J940" s="1">
        <f>+Table2[[#This Row],[Ventas]]/Table2[[#This Row],[Cantidad]]</f>
        <v>9271.5714285714294</v>
      </c>
      <c r="K940" s="1" t="str">
        <f>+_xlfn.IFS(Table2[[#This Row],[Ventas]]&gt;200000,"Alta", Table2[[#This Row],[Ventas]]&gt;100000,"Media",TRUE,"Bajo")</f>
        <v>Media</v>
      </c>
    </row>
    <row r="941" spans="1:11" x14ac:dyDescent="0.25">
      <c r="A941" s="1" t="s">
        <v>101</v>
      </c>
      <c r="B941" s="1" t="s">
        <v>63</v>
      </c>
      <c r="C941" s="1" t="s">
        <v>91</v>
      </c>
      <c r="D941" s="1" t="s">
        <v>9</v>
      </c>
      <c r="E941" s="2">
        <v>42264.457638888889</v>
      </c>
      <c r="F941" s="1" t="s">
        <v>6</v>
      </c>
      <c r="G941" s="1">
        <v>130971</v>
      </c>
      <c r="H941" s="1">
        <v>16</v>
      </c>
      <c r="I941" s="1" t="s">
        <v>79</v>
      </c>
      <c r="J941" s="1">
        <f>+Table2[[#This Row],[Ventas]]/Table2[[#This Row],[Cantidad]]</f>
        <v>8185.6875</v>
      </c>
      <c r="K941" s="1" t="str">
        <f>+_xlfn.IFS(Table2[[#This Row],[Ventas]]&gt;200000,"Alta", Table2[[#This Row],[Ventas]]&gt;100000,"Media",TRUE,"Bajo")</f>
        <v>Media</v>
      </c>
    </row>
    <row r="942" spans="1:11" x14ac:dyDescent="0.25">
      <c r="A942" s="1" t="s">
        <v>101</v>
      </c>
      <c r="B942" s="1" t="s">
        <v>28</v>
      </c>
      <c r="C942" s="1" t="s">
        <v>88</v>
      </c>
      <c r="D942" s="1" t="s">
        <v>9</v>
      </c>
      <c r="E942" s="2">
        <v>42277.457638888889</v>
      </c>
      <c r="F942" s="1" t="s">
        <v>6</v>
      </c>
      <c r="G942" s="1">
        <v>230557</v>
      </c>
      <c r="H942" s="1">
        <v>24</v>
      </c>
      <c r="I942" s="1" t="s">
        <v>80</v>
      </c>
      <c r="J942" s="1">
        <f>+Table2[[#This Row],[Ventas]]/Table2[[#This Row],[Cantidad]]</f>
        <v>9606.5416666666661</v>
      </c>
      <c r="K942" s="1" t="str">
        <f>+_xlfn.IFS(Table2[[#This Row],[Ventas]]&gt;200000,"Alta", Table2[[#This Row],[Ventas]]&gt;100000,"Media",TRUE,"Bajo")</f>
        <v>Alta</v>
      </c>
    </row>
    <row r="943" spans="1:11" x14ac:dyDescent="0.25">
      <c r="A943" s="1" t="s">
        <v>102</v>
      </c>
      <c r="B943" s="1" t="s">
        <v>142</v>
      </c>
      <c r="C943" s="1" t="s">
        <v>88</v>
      </c>
      <c r="D943" s="1" t="s">
        <v>9</v>
      </c>
      <c r="E943" s="2">
        <v>42277.457638888889</v>
      </c>
      <c r="F943" s="1" t="s">
        <v>6</v>
      </c>
      <c r="G943" s="1">
        <v>81342</v>
      </c>
      <c r="H943" s="1">
        <v>34</v>
      </c>
      <c r="I943" s="1" t="s">
        <v>81</v>
      </c>
      <c r="J943" s="1">
        <f>+Table2[[#This Row],[Ventas]]/Table2[[#This Row],[Cantidad]]</f>
        <v>2392.4117647058824</v>
      </c>
      <c r="K943" s="1" t="str">
        <f>+_xlfn.IFS(Table2[[#This Row],[Ventas]]&gt;200000,"Alta", Table2[[#This Row],[Ventas]]&gt;100000,"Media",TRUE,"Bajo")</f>
        <v>Bajo</v>
      </c>
    </row>
    <row r="944" spans="1:11" x14ac:dyDescent="0.25">
      <c r="A944" s="1" t="s">
        <v>102</v>
      </c>
      <c r="B944" s="1" t="s">
        <v>63</v>
      </c>
      <c r="C944" s="1" t="s">
        <v>91</v>
      </c>
      <c r="D944" s="1" t="s">
        <v>9</v>
      </c>
      <c r="E944" s="2">
        <v>42264.457638888889</v>
      </c>
      <c r="F944" s="1" t="s">
        <v>6</v>
      </c>
      <c r="G944" s="1">
        <v>132626</v>
      </c>
      <c r="H944" s="1">
        <v>25</v>
      </c>
      <c r="I944" s="1" t="s">
        <v>79</v>
      </c>
      <c r="J944" s="1">
        <f>+Table2[[#This Row],[Ventas]]/Table2[[#This Row],[Cantidad]]</f>
        <v>5305.04</v>
      </c>
      <c r="K944" s="1" t="str">
        <f>+_xlfn.IFS(Table2[[#This Row],[Ventas]]&gt;200000,"Alta", Table2[[#This Row],[Ventas]]&gt;100000,"Media",TRUE,"Bajo")</f>
        <v>Media</v>
      </c>
    </row>
    <row r="945" spans="1:11" x14ac:dyDescent="0.25">
      <c r="A945" s="1" t="s">
        <v>102</v>
      </c>
      <c r="B945" s="1" t="s">
        <v>63</v>
      </c>
      <c r="C945" s="1" t="s">
        <v>91</v>
      </c>
      <c r="D945" s="1" t="s">
        <v>9</v>
      </c>
      <c r="E945" s="2">
        <v>42264.457638888889</v>
      </c>
      <c r="F945" s="1" t="s">
        <v>6</v>
      </c>
      <c r="G945" s="1">
        <v>63646</v>
      </c>
      <c r="H945" s="1">
        <v>21</v>
      </c>
      <c r="I945" s="1" t="s">
        <v>81</v>
      </c>
      <c r="J945" s="1">
        <f>+Table2[[#This Row],[Ventas]]/Table2[[#This Row],[Cantidad]]</f>
        <v>3030.7619047619046</v>
      </c>
      <c r="K945" s="1" t="str">
        <f>+_xlfn.IFS(Table2[[#This Row],[Ventas]]&gt;200000,"Alta", Table2[[#This Row],[Ventas]]&gt;100000,"Media",TRUE,"Bajo")</f>
        <v>Bajo</v>
      </c>
    </row>
    <row r="946" spans="1:11" x14ac:dyDescent="0.25">
      <c r="A946" s="1" t="s">
        <v>102</v>
      </c>
      <c r="B946" s="1" t="s">
        <v>66</v>
      </c>
      <c r="C946" s="1" t="s">
        <v>88</v>
      </c>
      <c r="D946" s="1" t="s">
        <v>9</v>
      </c>
      <c r="E946" s="2">
        <v>42277.457638888889</v>
      </c>
      <c r="F946" s="1" t="s">
        <v>6</v>
      </c>
      <c r="G946" s="1">
        <v>217548</v>
      </c>
      <c r="H946" s="1">
        <v>30</v>
      </c>
      <c r="I946" s="1" t="s">
        <v>79</v>
      </c>
      <c r="J946" s="1">
        <f>+Table2[[#This Row],[Ventas]]/Table2[[#This Row],[Cantidad]]</f>
        <v>7251.6</v>
      </c>
      <c r="K946" s="1" t="str">
        <f>+_xlfn.IFS(Table2[[#This Row],[Ventas]]&gt;200000,"Alta", Table2[[#This Row],[Ventas]]&gt;100000,"Media",TRUE,"Bajo")</f>
        <v>Alta</v>
      </c>
    </row>
    <row r="947" spans="1:11" x14ac:dyDescent="0.25">
      <c r="A947" s="1" t="s">
        <v>102</v>
      </c>
      <c r="B947" s="1" t="s">
        <v>68</v>
      </c>
      <c r="C947" s="1" t="s">
        <v>91</v>
      </c>
      <c r="D947" s="1" t="s">
        <v>9</v>
      </c>
      <c r="E947" s="2">
        <v>42277.457638888889</v>
      </c>
      <c r="F947" s="1" t="s">
        <v>6</v>
      </c>
      <c r="G947" s="1">
        <v>58809</v>
      </c>
      <c r="H947" s="1">
        <v>21</v>
      </c>
      <c r="I947" s="1" t="s">
        <v>80</v>
      </c>
      <c r="J947" s="1">
        <f>+Table2[[#This Row],[Ventas]]/Table2[[#This Row],[Cantidad]]</f>
        <v>2800.4285714285716</v>
      </c>
      <c r="K947" s="1" t="str">
        <f>+_xlfn.IFS(Table2[[#This Row],[Ventas]]&gt;200000,"Alta", Table2[[#This Row],[Ventas]]&gt;100000,"Media",TRUE,"Bajo")</f>
        <v>Bajo</v>
      </c>
    </row>
    <row r="948" spans="1:11" x14ac:dyDescent="0.25">
      <c r="A948" s="1" t="s">
        <v>102</v>
      </c>
      <c r="B948" s="1" t="s">
        <v>35</v>
      </c>
      <c r="C948" s="1" t="s">
        <v>87</v>
      </c>
      <c r="D948" s="1" t="s">
        <v>9</v>
      </c>
      <c r="E948" s="2">
        <v>42277.457638888889</v>
      </c>
      <c r="F948" s="1" t="s">
        <v>6</v>
      </c>
      <c r="G948" s="1">
        <v>196700</v>
      </c>
      <c r="H948" s="1">
        <v>42</v>
      </c>
      <c r="I948" s="1" t="s">
        <v>81</v>
      </c>
      <c r="J948" s="1">
        <f>+Table2[[#This Row],[Ventas]]/Table2[[#This Row],[Cantidad]]</f>
        <v>4683.333333333333</v>
      </c>
      <c r="K948" s="1" t="str">
        <f>+_xlfn.IFS(Table2[[#This Row],[Ventas]]&gt;200000,"Alta", Table2[[#This Row],[Ventas]]&gt;100000,"Media",TRUE,"Bajo")</f>
        <v>Media</v>
      </c>
    </row>
    <row r="949" spans="1:11" x14ac:dyDescent="0.25">
      <c r="A949" s="1" t="s">
        <v>102</v>
      </c>
      <c r="B949" s="1" t="s">
        <v>24</v>
      </c>
      <c r="C949" s="1" t="s">
        <v>92</v>
      </c>
      <c r="D949" s="1" t="s">
        <v>5</v>
      </c>
      <c r="E949" s="2">
        <v>42277.457638888889</v>
      </c>
      <c r="F949" s="1" t="s">
        <v>6</v>
      </c>
      <c r="G949" s="1">
        <v>103421</v>
      </c>
      <c r="H949" s="1">
        <v>42</v>
      </c>
      <c r="I949" s="1" t="s">
        <v>79</v>
      </c>
      <c r="J949" s="1">
        <f>+Table2[[#This Row],[Ventas]]/Table2[[#This Row],[Cantidad]]</f>
        <v>2462.4047619047619</v>
      </c>
      <c r="K949" s="1" t="str">
        <f>+_xlfn.IFS(Table2[[#This Row],[Ventas]]&gt;200000,"Alta", Table2[[#This Row],[Ventas]]&gt;100000,"Media",TRUE,"Bajo")</f>
        <v>Media</v>
      </c>
    </row>
    <row r="950" spans="1:11" x14ac:dyDescent="0.25">
      <c r="A950" s="1" t="s">
        <v>102</v>
      </c>
      <c r="B950" s="1" t="s">
        <v>123</v>
      </c>
      <c r="C950" s="1" t="s">
        <v>91</v>
      </c>
      <c r="D950" s="1" t="s">
        <v>9</v>
      </c>
      <c r="E950" s="2">
        <v>42248.457638888889</v>
      </c>
      <c r="F950" s="1" t="s">
        <v>6</v>
      </c>
      <c r="G950" s="1">
        <v>71008</v>
      </c>
      <c r="H950" s="1">
        <v>21</v>
      </c>
      <c r="I950" s="1" t="s">
        <v>80</v>
      </c>
      <c r="J950" s="1">
        <f>+Table2[[#This Row],[Ventas]]/Table2[[#This Row],[Cantidad]]</f>
        <v>3381.3333333333335</v>
      </c>
      <c r="K950" s="1" t="str">
        <f>+_xlfn.IFS(Table2[[#This Row],[Ventas]]&gt;200000,"Alta", Table2[[#This Row],[Ventas]]&gt;100000,"Media",TRUE,"Bajo")</f>
        <v>Bajo</v>
      </c>
    </row>
    <row r="951" spans="1:11" x14ac:dyDescent="0.25">
      <c r="A951" s="1" t="s">
        <v>102</v>
      </c>
      <c r="B951" s="1" t="s">
        <v>64</v>
      </c>
      <c r="C951" s="1" t="s">
        <v>91</v>
      </c>
      <c r="D951" s="1" t="s">
        <v>9</v>
      </c>
      <c r="E951" s="2">
        <v>42271.457638888889</v>
      </c>
      <c r="F951" s="1" t="s">
        <v>6</v>
      </c>
      <c r="G951" s="1">
        <v>183822</v>
      </c>
      <c r="H951" s="1">
        <v>18</v>
      </c>
      <c r="I951" s="1" t="s">
        <v>79</v>
      </c>
      <c r="J951" s="1">
        <f>+Table2[[#This Row],[Ventas]]/Table2[[#This Row],[Cantidad]]</f>
        <v>10212.333333333334</v>
      </c>
      <c r="K951" s="1" t="str">
        <f>+_xlfn.IFS(Table2[[#This Row],[Ventas]]&gt;200000,"Alta", Table2[[#This Row],[Ventas]]&gt;100000,"Media",TRUE,"Bajo")</f>
        <v>Media</v>
      </c>
    </row>
    <row r="952" spans="1:11" x14ac:dyDescent="0.25">
      <c r="A952" s="1" t="s">
        <v>102</v>
      </c>
      <c r="B952" s="1" t="s">
        <v>110</v>
      </c>
      <c r="C952" s="1" t="s">
        <v>92</v>
      </c>
      <c r="D952" s="1" t="s">
        <v>5</v>
      </c>
      <c r="E952" s="2">
        <v>42277.457638888889</v>
      </c>
      <c r="F952" s="1" t="s">
        <v>7</v>
      </c>
      <c r="G952" s="1">
        <v>167160</v>
      </c>
      <c r="H952" s="1">
        <v>17</v>
      </c>
      <c r="I952" s="1" t="s">
        <v>82</v>
      </c>
      <c r="J952" s="1">
        <f>+Table2[[#This Row],[Ventas]]/Table2[[#This Row],[Cantidad]]</f>
        <v>9832.9411764705874</v>
      </c>
      <c r="K952" s="1" t="str">
        <f>+_xlfn.IFS(Table2[[#This Row],[Ventas]]&gt;200000,"Alta", Table2[[#This Row],[Ventas]]&gt;100000,"Media",TRUE,"Bajo")</f>
        <v>Media</v>
      </c>
    </row>
    <row r="953" spans="1:11" x14ac:dyDescent="0.25">
      <c r="A953" s="1" t="s">
        <v>102</v>
      </c>
      <c r="B953" s="1" t="s">
        <v>118</v>
      </c>
      <c r="C953" s="1" t="s">
        <v>92</v>
      </c>
      <c r="D953" s="1" t="s">
        <v>5</v>
      </c>
      <c r="E953" s="2">
        <v>42272.457638888889</v>
      </c>
      <c r="F953" s="1" t="s">
        <v>7</v>
      </c>
      <c r="G953" s="1">
        <v>94315</v>
      </c>
      <c r="H953" s="1">
        <v>21</v>
      </c>
      <c r="I953" s="1" t="s">
        <v>81</v>
      </c>
      <c r="J953" s="1">
        <f>+Table2[[#This Row],[Ventas]]/Table2[[#This Row],[Cantidad]]</f>
        <v>4491.1904761904761</v>
      </c>
      <c r="K953" s="1" t="str">
        <f>+_xlfn.IFS(Table2[[#This Row],[Ventas]]&gt;200000,"Alta", Table2[[#This Row],[Ventas]]&gt;100000,"Media",TRUE,"Bajo")</f>
        <v>Bajo</v>
      </c>
    </row>
    <row r="954" spans="1:11" x14ac:dyDescent="0.25">
      <c r="A954" s="1" t="s">
        <v>102</v>
      </c>
      <c r="B954" s="1" t="s">
        <v>124</v>
      </c>
      <c r="C954" s="1" t="s">
        <v>92</v>
      </c>
      <c r="D954" s="1" t="s">
        <v>5</v>
      </c>
      <c r="E954" s="2">
        <v>42277.457638888889</v>
      </c>
      <c r="F954" s="1" t="s">
        <v>7</v>
      </c>
      <c r="G954" s="1">
        <v>52010</v>
      </c>
      <c r="H954" s="1">
        <v>41</v>
      </c>
      <c r="I954" s="1" t="s">
        <v>81</v>
      </c>
      <c r="J954" s="1">
        <f>+Table2[[#This Row],[Ventas]]/Table2[[#This Row],[Cantidad]]</f>
        <v>1268.5365853658536</v>
      </c>
      <c r="K954" s="1" t="str">
        <f>+_xlfn.IFS(Table2[[#This Row],[Ventas]]&gt;200000,"Alta", Table2[[#This Row],[Ventas]]&gt;100000,"Media",TRUE,"Bajo")</f>
        <v>Bajo</v>
      </c>
    </row>
    <row r="955" spans="1:11" x14ac:dyDescent="0.25">
      <c r="A955" s="1" t="s">
        <v>102</v>
      </c>
      <c r="B955" s="1" t="s">
        <v>142</v>
      </c>
      <c r="C955" s="1" t="s">
        <v>88</v>
      </c>
      <c r="D955" s="1" t="s">
        <v>9</v>
      </c>
      <c r="E955" s="2">
        <v>42263.457638888889</v>
      </c>
      <c r="F955" s="1" t="s">
        <v>6</v>
      </c>
      <c r="G955" s="1">
        <v>213876</v>
      </c>
      <c r="H955" s="1">
        <v>27</v>
      </c>
      <c r="I955" s="1" t="s">
        <v>81</v>
      </c>
      <c r="J955" s="1">
        <f>+Table2[[#This Row],[Ventas]]/Table2[[#This Row],[Cantidad]]</f>
        <v>7921.333333333333</v>
      </c>
      <c r="K955" s="1" t="str">
        <f>+_xlfn.IFS(Table2[[#This Row],[Ventas]]&gt;200000,"Alta", Table2[[#This Row],[Ventas]]&gt;100000,"Media",TRUE,"Bajo")</f>
        <v>Alta</v>
      </c>
    </row>
    <row r="956" spans="1:11" x14ac:dyDescent="0.25">
      <c r="A956" s="1" t="s">
        <v>102</v>
      </c>
      <c r="B956" s="1" t="s">
        <v>146</v>
      </c>
      <c r="C956" s="1" t="s">
        <v>86</v>
      </c>
      <c r="D956" s="1" t="s">
        <v>9</v>
      </c>
      <c r="E956" s="2">
        <v>42270.457638888889</v>
      </c>
      <c r="F956" s="1" t="s">
        <v>10</v>
      </c>
      <c r="G956" s="1">
        <v>64161</v>
      </c>
      <c r="H956" s="1">
        <v>42</v>
      </c>
      <c r="I956" s="1" t="s">
        <v>81</v>
      </c>
      <c r="J956" s="1">
        <f>+Table2[[#This Row],[Ventas]]/Table2[[#This Row],[Cantidad]]</f>
        <v>1527.6428571428571</v>
      </c>
      <c r="K956" s="1" t="str">
        <f>+_xlfn.IFS(Table2[[#This Row],[Ventas]]&gt;200000,"Alta", Table2[[#This Row],[Ventas]]&gt;100000,"Media",TRUE,"Bajo")</f>
        <v>Bajo</v>
      </c>
    </row>
    <row r="957" spans="1:11" x14ac:dyDescent="0.25">
      <c r="A957" s="1" t="s">
        <v>102</v>
      </c>
      <c r="B957" s="1" t="s">
        <v>13</v>
      </c>
      <c r="C957" s="1" t="s">
        <v>89</v>
      </c>
      <c r="D957" s="1" t="s">
        <v>9</v>
      </c>
      <c r="E957" s="2">
        <v>42277.457638888889</v>
      </c>
      <c r="F957" s="1" t="s">
        <v>6</v>
      </c>
      <c r="G957" s="1">
        <v>125873</v>
      </c>
      <c r="H957" s="1">
        <v>32</v>
      </c>
      <c r="I957" s="1" t="s">
        <v>81</v>
      </c>
      <c r="J957" s="1">
        <f>+Table2[[#This Row],[Ventas]]/Table2[[#This Row],[Cantidad]]</f>
        <v>3933.53125</v>
      </c>
      <c r="K957" s="1" t="str">
        <f>+_xlfn.IFS(Table2[[#This Row],[Ventas]]&gt;200000,"Alta", Table2[[#This Row],[Ventas]]&gt;100000,"Media",TRUE,"Bajo")</f>
        <v>Media</v>
      </c>
    </row>
    <row r="958" spans="1:11" x14ac:dyDescent="0.25">
      <c r="A958" s="1" t="s">
        <v>102</v>
      </c>
      <c r="B958" s="1" t="s">
        <v>118</v>
      </c>
      <c r="C958" s="1" t="s">
        <v>92</v>
      </c>
      <c r="D958" s="1" t="s">
        <v>5</v>
      </c>
      <c r="E958" s="2">
        <v>42272.457638888889</v>
      </c>
      <c r="F958" s="1" t="s">
        <v>7</v>
      </c>
      <c r="G958" s="1">
        <v>189120</v>
      </c>
      <c r="H958" s="1">
        <v>33</v>
      </c>
      <c r="I958" s="1" t="s">
        <v>82</v>
      </c>
      <c r="J958" s="1">
        <f>+Table2[[#This Row],[Ventas]]/Table2[[#This Row],[Cantidad]]</f>
        <v>5730.909090909091</v>
      </c>
      <c r="K958" s="1" t="str">
        <f>+_xlfn.IFS(Table2[[#This Row],[Ventas]]&gt;200000,"Alta", Table2[[#This Row],[Ventas]]&gt;100000,"Media",TRUE,"Bajo")</f>
        <v>Media</v>
      </c>
    </row>
    <row r="959" spans="1:11" x14ac:dyDescent="0.25">
      <c r="A959" s="1" t="s">
        <v>102</v>
      </c>
      <c r="B959" s="1" t="s">
        <v>32</v>
      </c>
      <c r="C959" s="1" t="s">
        <v>92</v>
      </c>
      <c r="D959" s="1" t="s">
        <v>5</v>
      </c>
      <c r="E959" s="2">
        <v>42277.457638888889</v>
      </c>
      <c r="F959" s="1" t="s">
        <v>7</v>
      </c>
      <c r="G959" s="1">
        <v>177900</v>
      </c>
      <c r="H959" s="1">
        <v>42</v>
      </c>
      <c r="I959" s="1" t="s">
        <v>93</v>
      </c>
      <c r="J959" s="1">
        <f>+Table2[[#This Row],[Ventas]]/Table2[[#This Row],[Cantidad]]</f>
        <v>4235.7142857142853</v>
      </c>
      <c r="K959" s="1" t="str">
        <f>+_xlfn.IFS(Table2[[#This Row],[Ventas]]&gt;200000,"Alta", Table2[[#This Row],[Ventas]]&gt;100000,"Media",TRUE,"Bajo")</f>
        <v>Media</v>
      </c>
    </row>
    <row r="960" spans="1:11" x14ac:dyDescent="0.25">
      <c r="A960" s="1" t="s">
        <v>102</v>
      </c>
      <c r="B960" s="1" t="s">
        <v>34</v>
      </c>
      <c r="C960" s="1" t="s">
        <v>87</v>
      </c>
      <c r="D960" s="1" t="s">
        <v>9</v>
      </c>
      <c r="E960" s="2">
        <v>42268.457638888889</v>
      </c>
      <c r="F960" s="1" t="s">
        <v>6</v>
      </c>
      <c r="G960" s="1">
        <v>118792</v>
      </c>
      <c r="H960" s="1">
        <v>24</v>
      </c>
      <c r="I960" s="1" t="s">
        <v>81</v>
      </c>
      <c r="J960" s="1">
        <f>+Table2[[#This Row],[Ventas]]/Table2[[#This Row],[Cantidad]]</f>
        <v>4949.666666666667</v>
      </c>
      <c r="K960" s="1" t="str">
        <f>+_xlfn.IFS(Table2[[#This Row],[Ventas]]&gt;200000,"Alta", Table2[[#This Row],[Ventas]]&gt;100000,"Media",TRUE,"Bajo")</f>
        <v>Media</v>
      </c>
    </row>
    <row r="961" spans="1:11" x14ac:dyDescent="0.25">
      <c r="A961" s="1" t="s">
        <v>102</v>
      </c>
      <c r="B961" s="1" t="s">
        <v>123</v>
      </c>
      <c r="C961" s="1" t="s">
        <v>91</v>
      </c>
      <c r="D961" s="1" t="s">
        <v>9</v>
      </c>
      <c r="E961" s="2">
        <v>42248.457638888889</v>
      </c>
      <c r="F961" s="1" t="s">
        <v>6</v>
      </c>
      <c r="G961" s="1">
        <v>110943</v>
      </c>
      <c r="H961" s="1">
        <v>32</v>
      </c>
      <c r="I961" s="1" t="s">
        <v>81</v>
      </c>
      <c r="J961" s="1">
        <f>+Table2[[#This Row],[Ventas]]/Table2[[#This Row],[Cantidad]]</f>
        <v>3466.96875</v>
      </c>
      <c r="K961" s="1" t="str">
        <f>+_xlfn.IFS(Table2[[#This Row],[Ventas]]&gt;200000,"Alta", Table2[[#This Row],[Ventas]]&gt;100000,"Media",TRUE,"Bajo")</f>
        <v>Media</v>
      </c>
    </row>
    <row r="962" spans="1:11" x14ac:dyDescent="0.25">
      <c r="A962" s="1" t="s">
        <v>102</v>
      </c>
      <c r="B962" s="1" t="s">
        <v>63</v>
      </c>
      <c r="C962" s="1" t="s">
        <v>91</v>
      </c>
      <c r="D962" s="1" t="s">
        <v>9</v>
      </c>
      <c r="E962" s="2">
        <v>42264.457638888889</v>
      </c>
      <c r="F962" s="1" t="s">
        <v>6</v>
      </c>
      <c r="G962" s="1">
        <v>197143</v>
      </c>
      <c r="H962" s="1">
        <v>15</v>
      </c>
      <c r="I962" s="1" t="s">
        <v>81</v>
      </c>
      <c r="J962" s="1">
        <f>+Table2[[#This Row],[Ventas]]/Table2[[#This Row],[Cantidad]]</f>
        <v>13142.866666666667</v>
      </c>
      <c r="K962" s="1" t="str">
        <f>+_xlfn.IFS(Table2[[#This Row],[Ventas]]&gt;200000,"Alta", Table2[[#This Row],[Ventas]]&gt;100000,"Media",TRUE,"Bajo")</f>
        <v>Media</v>
      </c>
    </row>
    <row r="963" spans="1:11" x14ac:dyDescent="0.25">
      <c r="A963" s="1" t="s">
        <v>102</v>
      </c>
      <c r="B963" s="1" t="s">
        <v>15</v>
      </c>
      <c r="C963" s="1" t="s">
        <v>92</v>
      </c>
      <c r="D963" s="1" t="s">
        <v>5</v>
      </c>
      <c r="E963" s="2">
        <v>42272.457638888889</v>
      </c>
      <c r="F963" s="1" t="s">
        <v>7</v>
      </c>
      <c r="G963" s="1">
        <v>141747</v>
      </c>
      <c r="H963" s="1">
        <v>38</v>
      </c>
      <c r="I963" s="1" t="s">
        <v>81</v>
      </c>
      <c r="J963" s="1">
        <f>+Table2[[#This Row],[Ventas]]/Table2[[#This Row],[Cantidad]]</f>
        <v>3730.1842105263158</v>
      </c>
      <c r="K963" s="1" t="str">
        <f>+_xlfn.IFS(Table2[[#This Row],[Ventas]]&gt;200000,"Alta", Table2[[#This Row],[Ventas]]&gt;100000,"Media",TRUE,"Bajo")</f>
        <v>Media</v>
      </c>
    </row>
    <row r="964" spans="1:11" x14ac:dyDescent="0.25">
      <c r="A964" s="1" t="s">
        <v>102</v>
      </c>
      <c r="B964" s="1" t="s">
        <v>124</v>
      </c>
      <c r="C964" s="1" t="s">
        <v>92</v>
      </c>
      <c r="D964" s="1" t="s">
        <v>5</v>
      </c>
      <c r="E964" s="2">
        <v>42277.457638888889</v>
      </c>
      <c r="F964" s="1" t="s">
        <v>7</v>
      </c>
      <c r="G964" s="1">
        <v>137392</v>
      </c>
      <c r="H964" s="1">
        <v>42</v>
      </c>
      <c r="I964" s="1" t="s">
        <v>79</v>
      </c>
      <c r="J964" s="1">
        <f>+Table2[[#This Row],[Ventas]]/Table2[[#This Row],[Cantidad]]</f>
        <v>3271.2380952380954</v>
      </c>
      <c r="K964" s="1" t="str">
        <f>+_xlfn.IFS(Table2[[#This Row],[Ventas]]&gt;200000,"Alta", Table2[[#This Row],[Ventas]]&gt;100000,"Media",TRUE,"Bajo")</f>
        <v>Media</v>
      </c>
    </row>
    <row r="965" spans="1:11" x14ac:dyDescent="0.25">
      <c r="A965" s="1" t="s">
        <v>102</v>
      </c>
      <c r="B965" s="1" t="s">
        <v>37</v>
      </c>
      <c r="C965" s="1" t="s">
        <v>91</v>
      </c>
      <c r="D965" s="1" t="s">
        <v>9</v>
      </c>
      <c r="E965" s="2">
        <v>42277.457638888889</v>
      </c>
      <c r="F965" s="1" t="s">
        <v>6</v>
      </c>
      <c r="G965" s="1">
        <v>100104</v>
      </c>
      <c r="H965" s="1">
        <v>18</v>
      </c>
      <c r="I965" s="1" t="s">
        <v>79</v>
      </c>
      <c r="J965" s="1">
        <f>+Table2[[#This Row],[Ventas]]/Table2[[#This Row],[Cantidad]]</f>
        <v>5561.333333333333</v>
      </c>
      <c r="K965" s="1" t="str">
        <f>+_xlfn.IFS(Table2[[#This Row],[Ventas]]&gt;200000,"Alta", Table2[[#This Row],[Ventas]]&gt;100000,"Media",TRUE,"Bajo")</f>
        <v>Media</v>
      </c>
    </row>
    <row r="966" spans="1:11" x14ac:dyDescent="0.25">
      <c r="A966" s="1" t="s">
        <v>102</v>
      </c>
      <c r="B966" s="1" t="s">
        <v>28</v>
      </c>
      <c r="C966" s="1" t="s">
        <v>88</v>
      </c>
      <c r="D966" s="1" t="s">
        <v>9</v>
      </c>
      <c r="E966" s="2">
        <v>42277.457638888889</v>
      </c>
      <c r="F966" s="1" t="s">
        <v>6</v>
      </c>
      <c r="G966" s="1">
        <v>196880</v>
      </c>
      <c r="H966" s="1">
        <v>31</v>
      </c>
      <c r="I966" s="1" t="s">
        <v>79</v>
      </c>
      <c r="J966" s="1">
        <f>+Table2[[#This Row],[Ventas]]/Table2[[#This Row],[Cantidad]]</f>
        <v>6350.9677419354839</v>
      </c>
      <c r="K966" s="1" t="str">
        <f>+_xlfn.IFS(Table2[[#This Row],[Ventas]]&gt;200000,"Alta", Table2[[#This Row],[Ventas]]&gt;100000,"Media",TRUE,"Bajo")</f>
        <v>Media</v>
      </c>
    </row>
    <row r="967" spans="1:11" x14ac:dyDescent="0.25">
      <c r="A967" s="1" t="s">
        <v>102</v>
      </c>
      <c r="B967" s="1" t="s">
        <v>31</v>
      </c>
      <c r="C967" s="1" t="s">
        <v>89</v>
      </c>
      <c r="D967" s="1" t="s">
        <v>9</v>
      </c>
      <c r="E967" s="2">
        <v>42271.457638888889</v>
      </c>
      <c r="F967" s="1" t="s">
        <v>6</v>
      </c>
      <c r="G967" s="1">
        <v>76962</v>
      </c>
      <c r="H967" s="1">
        <v>31</v>
      </c>
      <c r="I967" s="1" t="s">
        <v>80</v>
      </c>
      <c r="J967" s="1">
        <f>+Table2[[#This Row],[Ventas]]/Table2[[#This Row],[Cantidad]]</f>
        <v>2482.6451612903224</v>
      </c>
      <c r="K967" s="1" t="str">
        <f>+_xlfn.IFS(Table2[[#This Row],[Ventas]]&gt;200000,"Alta", Table2[[#This Row],[Ventas]]&gt;100000,"Media",TRUE,"Bajo")</f>
        <v>Bajo</v>
      </c>
    </row>
    <row r="968" spans="1:11" x14ac:dyDescent="0.25">
      <c r="A968" s="1" t="s">
        <v>102</v>
      </c>
      <c r="B968" s="1" t="s">
        <v>130</v>
      </c>
      <c r="C968" s="1" t="s">
        <v>86</v>
      </c>
      <c r="D968" s="1" t="s">
        <v>5</v>
      </c>
      <c r="E968" s="2">
        <v>42277.457638888889</v>
      </c>
      <c r="F968" s="1" t="s">
        <v>7</v>
      </c>
      <c r="G968" s="1">
        <v>206331</v>
      </c>
      <c r="H968" s="1">
        <v>23</v>
      </c>
      <c r="I968" s="1" t="s">
        <v>82</v>
      </c>
      <c r="J968" s="1">
        <f>+Table2[[#This Row],[Ventas]]/Table2[[#This Row],[Cantidad]]</f>
        <v>8970.9130434782601</v>
      </c>
      <c r="K968" s="1" t="str">
        <f>+_xlfn.IFS(Table2[[#This Row],[Ventas]]&gt;200000,"Alta", Table2[[#This Row],[Ventas]]&gt;100000,"Media",TRUE,"Bajo")</f>
        <v>Alta</v>
      </c>
    </row>
    <row r="969" spans="1:11" x14ac:dyDescent="0.25">
      <c r="A969" s="1" t="s">
        <v>102</v>
      </c>
      <c r="B969" s="1" t="s">
        <v>35</v>
      </c>
      <c r="C969" s="1" t="s">
        <v>89</v>
      </c>
      <c r="D969" s="1" t="s">
        <v>9</v>
      </c>
      <c r="E969" s="2">
        <v>42277.457638888889</v>
      </c>
      <c r="F969" s="1" t="s">
        <v>7</v>
      </c>
      <c r="G969" s="1">
        <v>172224</v>
      </c>
      <c r="H969" s="1">
        <v>29</v>
      </c>
      <c r="I969" s="1" t="s">
        <v>80</v>
      </c>
      <c r="J969" s="1">
        <f>+Table2[[#This Row],[Ventas]]/Table2[[#This Row],[Cantidad]]</f>
        <v>5938.7586206896549</v>
      </c>
      <c r="K969" s="1" t="str">
        <f>+_xlfn.IFS(Table2[[#This Row],[Ventas]]&gt;200000,"Alta", Table2[[#This Row],[Ventas]]&gt;100000,"Media",TRUE,"Bajo")</f>
        <v>Media</v>
      </c>
    </row>
    <row r="970" spans="1:11" x14ac:dyDescent="0.25">
      <c r="A970" s="1" t="s">
        <v>102</v>
      </c>
      <c r="B970" s="1" t="s">
        <v>33</v>
      </c>
      <c r="C970" s="1" t="s">
        <v>89</v>
      </c>
      <c r="D970" s="1" t="s">
        <v>9</v>
      </c>
      <c r="E970" s="2">
        <v>42269.457638888889</v>
      </c>
      <c r="F970" s="1" t="s">
        <v>6</v>
      </c>
      <c r="G970" s="1">
        <v>166110</v>
      </c>
      <c r="H970" s="1">
        <v>38</v>
      </c>
      <c r="I970" s="1" t="s">
        <v>79</v>
      </c>
      <c r="J970" s="1">
        <f>+Table2[[#This Row],[Ventas]]/Table2[[#This Row],[Cantidad]]</f>
        <v>4371.3157894736842</v>
      </c>
      <c r="K970" s="1" t="str">
        <f>+_xlfn.IFS(Table2[[#This Row],[Ventas]]&gt;200000,"Alta", Table2[[#This Row],[Ventas]]&gt;100000,"Media",TRUE,"Bajo")</f>
        <v>Media</v>
      </c>
    </row>
    <row r="971" spans="1:11" x14ac:dyDescent="0.25">
      <c r="A971" s="1" t="s">
        <v>102</v>
      </c>
      <c r="B971" s="1" t="s">
        <v>129</v>
      </c>
      <c r="C971" s="1" t="s">
        <v>89</v>
      </c>
      <c r="D971" s="1" t="s">
        <v>9</v>
      </c>
      <c r="E971" s="2">
        <v>42277.457638888889</v>
      </c>
      <c r="F971" s="1" t="s">
        <v>6</v>
      </c>
      <c r="G971" s="1">
        <v>180222</v>
      </c>
      <c r="H971" s="1">
        <v>16</v>
      </c>
      <c r="I971" s="1" t="s">
        <v>93</v>
      </c>
      <c r="J971" s="1">
        <f>+Table2[[#This Row],[Ventas]]/Table2[[#This Row],[Cantidad]]</f>
        <v>11263.875</v>
      </c>
      <c r="K971" s="1" t="str">
        <f>+_xlfn.IFS(Table2[[#This Row],[Ventas]]&gt;200000,"Alta", Table2[[#This Row],[Ventas]]&gt;100000,"Media",TRUE,"Bajo")</f>
        <v>Media</v>
      </c>
    </row>
    <row r="972" spans="1:11" x14ac:dyDescent="0.25">
      <c r="A972" s="1" t="s">
        <v>102</v>
      </c>
      <c r="B972" s="1" t="s">
        <v>142</v>
      </c>
      <c r="C972" s="1" t="s">
        <v>88</v>
      </c>
      <c r="D972" s="1" t="s">
        <v>9</v>
      </c>
      <c r="E972" s="2">
        <v>42277.457638888889</v>
      </c>
      <c r="F972" s="1" t="s">
        <v>6</v>
      </c>
      <c r="G972" s="1">
        <v>121164</v>
      </c>
      <c r="H972" s="1">
        <v>35</v>
      </c>
      <c r="I972" s="1" t="s">
        <v>81</v>
      </c>
      <c r="J972" s="1">
        <f>+Table2[[#This Row],[Ventas]]/Table2[[#This Row],[Cantidad]]</f>
        <v>3461.8285714285716</v>
      </c>
      <c r="K972" s="1" t="str">
        <f>+_xlfn.IFS(Table2[[#This Row],[Ventas]]&gt;200000,"Alta", Table2[[#This Row],[Ventas]]&gt;100000,"Media",TRUE,"Bajo")</f>
        <v>Media</v>
      </c>
    </row>
    <row r="973" spans="1:11" x14ac:dyDescent="0.25">
      <c r="A973" s="1" t="s">
        <v>102</v>
      </c>
      <c r="B973" s="1" t="s">
        <v>4</v>
      </c>
      <c r="C973" s="1" t="s">
        <v>84</v>
      </c>
      <c r="D973" s="1" t="s">
        <v>5</v>
      </c>
      <c r="E973" s="2">
        <v>42277.457638888889</v>
      </c>
      <c r="F973" s="1" t="s">
        <v>7</v>
      </c>
      <c r="G973" s="1">
        <v>173915</v>
      </c>
      <c r="H973" s="1">
        <v>31</v>
      </c>
      <c r="I973" s="1" t="s">
        <v>79</v>
      </c>
      <c r="J973" s="1">
        <f>+Table2[[#This Row],[Ventas]]/Table2[[#This Row],[Cantidad]]</f>
        <v>5610.1612903225805</v>
      </c>
      <c r="K973" s="1" t="str">
        <f>+_xlfn.IFS(Table2[[#This Row],[Ventas]]&gt;200000,"Alta", Table2[[#This Row],[Ventas]]&gt;100000,"Media",TRUE,"Bajo")</f>
        <v>Media</v>
      </c>
    </row>
    <row r="974" spans="1:11" x14ac:dyDescent="0.25">
      <c r="A974" s="1" t="s">
        <v>102</v>
      </c>
      <c r="B974" s="1" t="s">
        <v>4</v>
      </c>
      <c r="C974" s="1" t="s">
        <v>84</v>
      </c>
      <c r="D974" s="1" t="s">
        <v>5</v>
      </c>
      <c r="E974" s="2">
        <v>42277.457638888889</v>
      </c>
      <c r="F974" s="1" t="s">
        <v>7</v>
      </c>
      <c r="G974" s="1">
        <v>74471</v>
      </c>
      <c r="H974" s="1">
        <v>24</v>
      </c>
      <c r="I974" s="1" t="s">
        <v>81</v>
      </c>
      <c r="J974" s="1">
        <f>+Table2[[#This Row],[Ventas]]/Table2[[#This Row],[Cantidad]]</f>
        <v>3102.9583333333335</v>
      </c>
      <c r="K974" s="1" t="str">
        <f>+_xlfn.IFS(Table2[[#This Row],[Ventas]]&gt;200000,"Alta", Table2[[#This Row],[Ventas]]&gt;100000,"Media",TRUE,"Bajo")</f>
        <v>Bajo</v>
      </c>
    </row>
    <row r="975" spans="1:11" x14ac:dyDescent="0.25">
      <c r="A975" s="1" t="s">
        <v>102</v>
      </c>
      <c r="B975" s="1" t="s">
        <v>65</v>
      </c>
      <c r="C975" s="1" t="s">
        <v>88</v>
      </c>
      <c r="D975" s="1" t="s">
        <v>9</v>
      </c>
      <c r="E975" s="2">
        <v>42277.457638888889</v>
      </c>
      <c r="F975" s="1" t="s">
        <v>6</v>
      </c>
      <c r="G975" s="1">
        <v>169409</v>
      </c>
      <c r="H975" s="1">
        <v>41</v>
      </c>
      <c r="I975" s="1" t="s">
        <v>80</v>
      </c>
      <c r="J975" s="1">
        <f>+Table2[[#This Row],[Ventas]]/Table2[[#This Row],[Cantidad]]</f>
        <v>4131.9268292682927</v>
      </c>
      <c r="K975" s="1" t="str">
        <f>+_xlfn.IFS(Table2[[#This Row],[Ventas]]&gt;200000,"Alta", Table2[[#This Row],[Ventas]]&gt;100000,"Media",TRUE,"Bajo")</f>
        <v>Media</v>
      </c>
    </row>
  </sheetData>
  <conditionalFormatting sqref="M12:O21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{2E85A6EA-558A-442D-81CE-A3456C75DA9A}</x14:id>
        </ext>
      </extLst>
    </cfRule>
  </conditionalFormatting>
  <conditionalFormatting sqref="N7:N1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max"/>
        <color rgb="FFFFEF9C"/>
        <color rgb="FF63BE7B"/>
      </colorScale>
    </cfRule>
  </conditionalFormatting>
  <conditionalFormatting sqref="N13:N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5:N29">
    <cfRule type="colorScale" priority="7">
      <colorScale>
        <cfvo type="min"/>
        <cfvo type="max"/>
        <color rgb="FFFFEF9C"/>
        <color rgb="FF63BE7B"/>
      </colorScale>
    </cfRule>
  </conditionalFormatting>
  <conditionalFormatting sqref="O25:O29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{48623C7C-4231-4493-90E1-66B73E792A39}</x14:id>
        </ext>
      </extLst>
    </cfRule>
  </conditionalFormatting>
  <conditionalFormatting sqref="P25:P29">
    <cfRule type="colorScale" priority="5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  <tableParts count="3">
    <tablePart r:id="rId2"/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E85A6EA-558A-442D-81CE-A3456C75DA9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M12:O21</xm:sqref>
        </x14:conditionalFormatting>
        <x14:conditionalFormatting xmlns:xm="http://schemas.microsoft.com/office/excel/2006/main">
          <x14:cfRule type="dataBar" id="{48623C7C-4231-4493-90E1-66B73E792A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O25:O29</xm:sqref>
        </x14:conditionalFormatting>
      </x14:conditionalFormattings>
    </ext>
    <ext xmlns:x15="http://schemas.microsoft.com/office/spreadsheetml/2010/11/main" uri="{3A4CF648-6AED-40f4-86FF-DC5316D8AED3}">
      <x14:slicerList xmlns:x14="http://schemas.microsoft.com/office/spreadsheetml/2009/9/main">
        <x14:slicer r:id="rId5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C16E3-D4CB-428A-AB5B-A548B82C7AAA}">
  <dimension ref="A1:L975"/>
  <sheetViews>
    <sheetView workbookViewId="0">
      <selection activeCell="M27" sqref="M27"/>
    </sheetView>
  </sheetViews>
  <sheetFormatPr baseColWidth="10" defaultRowHeight="15" x14ac:dyDescent="0.25"/>
  <cols>
    <col min="4" max="4" width="12" customWidth="1"/>
    <col min="5" max="5" width="11.5703125" customWidth="1"/>
    <col min="11" max="11" width="17" style="1" customWidth="1"/>
    <col min="12" max="12" width="14.140625" style="1" customWidth="1"/>
  </cols>
  <sheetData>
    <row r="1" spans="1:12" x14ac:dyDescent="0.25">
      <c r="A1" t="s">
        <v>158</v>
      </c>
      <c r="B1" t="s">
        <v>94</v>
      </c>
      <c r="C1" t="s">
        <v>103</v>
      </c>
      <c r="D1" t="s">
        <v>0</v>
      </c>
      <c r="E1" t="s">
        <v>1</v>
      </c>
      <c r="F1" t="s">
        <v>2</v>
      </c>
      <c r="G1" t="s">
        <v>83</v>
      </c>
      <c r="H1" t="s">
        <v>3</v>
      </c>
      <c r="I1" t="s">
        <v>78</v>
      </c>
      <c r="J1" t="s">
        <v>104</v>
      </c>
      <c r="K1" s="1" t="s">
        <v>159</v>
      </c>
      <c r="L1" s="1" t="s">
        <v>160</v>
      </c>
    </row>
    <row r="2" spans="1:12" x14ac:dyDescent="0.25">
      <c r="A2" t="s">
        <v>150</v>
      </c>
      <c r="B2" t="s">
        <v>181</v>
      </c>
      <c r="C2" t="s">
        <v>31</v>
      </c>
      <c r="D2" t="s">
        <v>161</v>
      </c>
      <c r="E2" t="s">
        <v>9</v>
      </c>
      <c r="F2" t="s">
        <v>6</v>
      </c>
      <c r="G2">
        <v>173330</v>
      </c>
      <c r="H2">
        <v>24</v>
      </c>
      <c r="I2" t="s">
        <v>79</v>
      </c>
      <c r="J2" s="9">
        <v>42490</v>
      </c>
      <c r="K2" s="1">
        <v>7222.0833329999996</v>
      </c>
      <c r="L2" s="1" t="s">
        <v>165</v>
      </c>
    </row>
    <row r="3" spans="1:12" x14ac:dyDescent="0.25">
      <c r="A3" t="s">
        <v>151</v>
      </c>
      <c r="B3" t="s">
        <v>181</v>
      </c>
      <c r="C3" t="s">
        <v>123</v>
      </c>
      <c r="D3" t="s">
        <v>162</v>
      </c>
      <c r="E3" t="s">
        <v>5</v>
      </c>
      <c r="F3" t="s">
        <v>6</v>
      </c>
      <c r="G3">
        <v>235562</v>
      </c>
      <c r="H3">
        <v>16</v>
      </c>
      <c r="I3" t="s">
        <v>93</v>
      </c>
      <c r="J3" s="9">
        <v>42482</v>
      </c>
      <c r="K3" s="1">
        <v>14722.625</v>
      </c>
      <c r="L3" s="1" t="s">
        <v>166</v>
      </c>
    </row>
    <row r="4" spans="1:12" x14ac:dyDescent="0.25">
      <c r="A4" t="s">
        <v>151</v>
      </c>
      <c r="B4" t="s">
        <v>181</v>
      </c>
      <c r="C4" t="s">
        <v>23</v>
      </c>
      <c r="D4" t="s">
        <v>162</v>
      </c>
      <c r="E4" t="s">
        <v>5</v>
      </c>
      <c r="F4" t="s">
        <v>6</v>
      </c>
      <c r="G4">
        <v>98041</v>
      </c>
      <c r="H4">
        <v>33</v>
      </c>
      <c r="I4" t="s">
        <v>93</v>
      </c>
      <c r="J4" s="9">
        <v>42482</v>
      </c>
      <c r="K4" s="1">
        <v>2970.939394</v>
      </c>
      <c r="L4" s="1" t="s">
        <v>167</v>
      </c>
    </row>
    <row r="5" spans="1:12" x14ac:dyDescent="0.25">
      <c r="A5" t="s">
        <v>151</v>
      </c>
      <c r="B5" t="s">
        <v>181</v>
      </c>
      <c r="C5" t="s">
        <v>141</v>
      </c>
      <c r="D5" t="s">
        <v>162</v>
      </c>
      <c r="E5" t="s">
        <v>5</v>
      </c>
      <c r="F5" t="s">
        <v>6</v>
      </c>
      <c r="G5">
        <v>112955</v>
      </c>
      <c r="H5">
        <v>30</v>
      </c>
      <c r="I5" t="s">
        <v>93</v>
      </c>
      <c r="J5" s="9">
        <v>42481</v>
      </c>
      <c r="K5" s="1">
        <v>3765.166667</v>
      </c>
      <c r="L5" s="1" t="s">
        <v>165</v>
      </c>
    </row>
    <row r="6" spans="1:12" x14ac:dyDescent="0.25">
      <c r="A6" t="s">
        <v>152</v>
      </c>
      <c r="B6" t="s">
        <v>181</v>
      </c>
      <c r="C6" t="s">
        <v>185</v>
      </c>
      <c r="D6" t="s">
        <v>162</v>
      </c>
      <c r="E6" t="s">
        <v>5</v>
      </c>
      <c r="F6" t="s">
        <v>7</v>
      </c>
      <c r="G6">
        <v>183858</v>
      </c>
      <c r="H6">
        <v>31</v>
      </c>
      <c r="I6" t="s">
        <v>81</v>
      </c>
      <c r="J6" s="9">
        <v>42489</v>
      </c>
      <c r="K6" s="1">
        <v>5930.9032260000004</v>
      </c>
      <c r="L6" s="1" t="s">
        <v>165</v>
      </c>
    </row>
    <row r="7" spans="1:12" x14ac:dyDescent="0.25">
      <c r="A7" t="s">
        <v>153</v>
      </c>
      <c r="B7" t="s">
        <v>181</v>
      </c>
      <c r="C7" t="s">
        <v>135</v>
      </c>
      <c r="D7" t="s">
        <v>162</v>
      </c>
      <c r="E7" t="s">
        <v>5</v>
      </c>
      <c r="F7" t="s">
        <v>6</v>
      </c>
      <c r="G7">
        <v>232459</v>
      </c>
      <c r="H7">
        <v>29</v>
      </c>
      <c r="I7" t="s">
        <v>93</v>
      </c>
      <c r="J7" s="9">
        <v>42482</v>
      </c>
      <c r="K7" s="1">
        <v>8015.8275860000003</v>
      </c>
      <c r="L7" s="1" t="s">
        <v>166</v>
      </c>
    </row>
    <row r="8" spans="1:12" x14ac:dyDescent="0.25">
      <c r="A8" t="s">
        <v>154</v>
      </c>
      <c r="B8" t="s">
        <v>181</v>
      </c>
      <c r="C8" t="s">
        <v>31</v>
      </c>
      <c r="D8" t="s">
        <v>161</v>
      </c>
      <c r="E8" t="s">
        <v>9</v>
      </c>
      <c r="F8" t="s">
        <v>6</v>
      </c>
      <c r="G8">
        <v>249370</v>
      </c>
      <c r="H8">
        <v>27</v>
      </c>
      <c r="I8" t="s">
        <v>81</v>
      </c>
      <c r="J8" s="9">
        <v>42490</v>
      </c>
      <c r="K8" s="1">
        <v>9235.9259259999999</v>
      </c>
      <c r="L8" s="1" t="s">
        <v>166</v>
      </c>
    </row>
    <row r="9" spans="1:12" x14ac:dyDescent="0.25">
      <c r="A9" t="s">
        <v>154</v>
      </c>
      <c r="B9" t="s">
        <v>181</v>
      </c>
      <c r="C9" t="s">
        <v>42</v>
      </c>
      <c r="D9" t="s">
        <v>162</v>
      </c>
      <c r="E9" t="s">
        <v>5</v>
      </c>
      <c r="F9" t="s">
        <v>6</v>
      </c>
      <c r="G9">
        <v>149041</v>
      </c>
      <c r="H9">
        <v>24</v>
      </c>
      <c r="I9" t="s">
        <v>93</v>
      </c>
      <c r="J9" s="9">
        <v>42473</v>
      </c>
      <c r="K9" s="1">
        <v>6210.0416670000004</v>
      </c>
      <c r="L9" s="1" t="s">
        <v>165</v>
      </c>
    </row>
    <row r="10" spans="1:12" x14ac:dyDescent="0.25">
      <c r="A10" t="s">
        <v>155</v>
      </c>
      <c r="B10" t="s">
        <v>181</v>
      </c>
      <c r="C10" t="s">
        <v>130</v>
      </c>
      <c r="D10" t="s">
        <v>86</v>
      </c>
      <c r="E10" t="s">
        <v>5</v>
      </c>
      <c r="F10" t="s">
        <v>7</v>
      </c>
      <c r="G10">
        <v>186253</v>
      </c>
      <c r="H10">
        <v>17</v>
      </c>
      <c r="I10" t="s">
        <v>79</v>
      </c>
      <c r="J10" s="9">
        <v>42242</v>
      </c>
      <c r="K10" s="1">
        <v>10956.05882</v>
      </c>
      <c r="L10" s="1" t="s">
        <v>165</v>
      </c>
    </row>
    <row r="11" spans="1:12" x14ac:dyDescent="0.25">
      <c r="A11" t="s">
        <v>155</v>
      </c>
      <c r="B11" t="s">
        <v>181</v>
      </c>
      <c r="C11" t="s">
        <v>138</v>
      </c>
      <c r="D11" t="s">
        <v>162</v>
      </c>
      <c r="E11" t="s">
        <v>5</v>
      </c>
      <c r="F11" t="s">
        <v>7</v>
      </c>
      <c r="G11">
        <v>154709</v>
      </c>
      <c r="H11">
        <v>37</v>
      </c>
      <c r="I11" t="s">
        <v>82</v>
      </c>
      <c r="J11" s="9">
        <v>42247</v>
      </c>
      <c r="K11" s="1">
        <v>4181.3243240000002</v>
      </c>
      <c r="L11" s="1" t="s">
        <v>165</v>
      </c>
    </row>
    <row r="12" spans="1:12" x14ac:dyDescent="0.25">
      <c r="A12" t="s">
        <v>156</v>
      </c>
      <c r="B12" t="s">
        <v>181</v>
      </c>
      <c r="C12" t="s">
        <v>4</v>
      </c>
      <c r="D12" t="s">
        <v>86</v>
      </c>
      <c r="E12" t="s">
        <v>5</v>
      </c>
      <c r="F12" t="s">
        <v>6</v>
      </c>
      <c r="G12">
        <v>198586</v>
      </c>
      <c r="H12">
        <v>28</v>
      </c>
      <c r="I12" t="s">
        <v>79</v>
      </c>
      <c r="J12" s="9">
        <v>42230</v>
      </c>
      <c r="K12" s="1">
        <v>7092.3571430000002</v>
      </c>
      <c r="L12" s="1" t="s">
        <v>165</v>
      </c>
    </row>
    <row r="13" spans="1:12" x14ac:dyDescent="0.25">
      <c r="A13" t="s">
        <v>156</v>
      </c>
      <c r="B13" t="s">
        <v>181</v>
      </c>
      <c r="C13" t="s">
        <v>14</v>
      </c>
      <c r="D13" t="s">
        <v>89</v>
      </c>
      <c r="E13" t="s">
        <v>9</v>
      </c>
      <c r="F13" t="s">
        <v>6</v>
      </c>
      <c r="G13">
        <v>100738</v>
      </c>
      <c r="H13">
        <v>15</v>
      </c>
      <c r="I13" t="s">
        <v>180</v>
      </c>
      <c r="J13" s="9">
        <v>42235</v>
      </c>
      <c r="K13" s="1">
        <v>6715.8666670000002</v>
      </c>
      <c r="L13" s="1" t="s">
        <v>165</v>
      </c>
    </row>
    <row r="14" spans="1:12" x14ac:dyDescent="0.25">
      <c r="A14" t="s">
        <v>156</v>
      </c>
      <c r="B14" t="s">
        <v>181</v>
      </c>
      <c r="C14" t="s">
        <v>39</v>
      </c>
      <c r="D14" t="s">
        <v>162</v>
      </c>
      <c r="E14" t="s">
        <v>5</v>
      </c>
      <c r="F14" t="s">
        <v>7</v>
      </c>
      <c r="G14">
        <v>157832</v>
      </c>
      <c r="H14">
        <v>40</v>
      </c>
      <c r="I14" t="s">
        <v>81</v>
      </c>
      <c r="J14" s="9">
        <v>42247</v>
      </c>
      <c r="K14" s="1">
        <v>3945.8</v>
      </c>
      <c r="L14" s="1" t="s">
        <v>165</v>
      </c>
    </row>
    <row r="15" spans="1:12" x14ac:dyDescent="0.25">
      <c r="A15" t="s">
        <v>156</v>
      </c>
      <c r="B15" t="s">
        <v>181</v>
      </c>
      <c r="C15" t="s">
        <v>39</v>
      </c>
      <c r="D15" t="s">
        <v>162</v>
      </c>
      <c r="E15" t="s">
        <v>5</v>
      </c>
      <c r="F15" t="s">
        <v>7</v>
      </c>
      <c r="G15">
        <v>244028</v>
      </c>
      <c r="H15">
        <v>24</v>
      </c>
      <c r="I15" t="s">
        <v>79</v>
      </c>
      <c r="J15" s="9">
        <v>42247</v>
      </c>
      <c r="K15" s="1">
        <v>10167.833329999999</v>
      </c>
      <c r="L15" s="1" t="s">
        <v>166</v>
      </c>
    </row>
    <row r="16" spans="1:12" x14ac:dyDescent="0.25">
      <c r="A16" t="s">
        <v>150</v>
      </c>
      <c r="B16" t="s">
        <v>181</v>
      </c>
      <c r="C16" t="s">
        <v>123</v>
      </c>
      <c r="D16" t="s">
        <v>88</v>
      </c>
      <c r="E16" t="s">
        <v>9</v>
      </c>
      <c r="F16" t="s">
        <v>6</v>
      </c>
      <c r="G16">
        <v>164158</v>
      </c>
      <c r="H16">
        <v>28</v>
      </c>
      <c r="I16" t="s">
        <v>180</v>
      </c>
      <c r="J16" s="9">
        <v>42244</v>
      </c>
      <c r="K16" s="1">
        <v>5862.7857139999996</v>
      </c>
      <c r="L16" s="1" t="s">
        <v>165</v>
      </c>
    </row>
    <row r="17" spans="1:12" x14ac:dyDescent="0.25">
      <c r="A17" t="s">
        <v>150</v>
      </c>
      <c r="B17" t="s">
        <v>181</v>
      </c>
      <c r="C17" t="s">
        <v>4</v>
      </c>
      <c r="D17" t="s">
        <v>163</v>
      </c>
      <c r="E17" t="s">
        <v>5</v>
      </c>
      <c r="F17" t="s">
        <v>7</v>
      </c>
      <c r="G17">
        <v>237486</v>
      </c>
      <c r="H17">
        <v>36</v>
      </c>
      <c r="I17" t="s">
        <v>93</v>
      </c>
      <c r="J17" s="9">
        <v>42247</v>
      </c>
      <c r="K17" s="1">
        <v>6596.8333329999996</v>
      </c>
      <c r="L17" s="1" t="s">
        <v>166</v>
      </c>
    </row>
    <row r="18" spans="1:12" x14ac:dyDescent="0.25">
      <c r="A18" t="s">
        <v>150</v>
      </c>
      <c r="B18" t="s">
        <v>181</v>
      </c>
      <c r="C18" t="s">
        <v>18</v>
      </c>
      <c r="D18" t="s">
        <v>86</v>
      </c>
      <c r="E18" t="s">
        <v>9</v>
      </c>
      <c r="F18" t="s">
        <v>6</v>
      </c>
      <c r="G18">
        <v>236324</v>
      </c>
      <c r="H18">
        <v>25</v>
      </c>
      <c r="I18" t="s">
        <v>93</v>
      </c>
      <c r="J18" s="9">
        <v>42237</v>
      </c>
      <c r="K18" s="1">
        <v>9452.9599999999991</v>
      </c>
      <c r="L18" s="1" t="s">
        <v>166</v>
      </c>
    </row>
    <row r="19" spans="1:12" x14ac:dyDescent="0.25">
      <c r="A19" t="s">
        <v>157</v>
      </c>
      <c r="B19" t="s">
        <v>181</v>
      </c>
      <c r="C19" t="s">
        <v>19</v>
      </c>
      <c r="D19" t="s">
        <v>89</v>
      </c>
      <c r="E19" t="s">
        <v>9</v>
      </c>
      <c r="F19" t="s">
        <v>6</v>
      </c>
      <c r="G19">
        <v>175071</v>
      </c>
      <c r="H19">
        <v>38</v>
      </c>
      <c r="I19" t="s">
        <v>180</v>
      </c>
      <c r="J19" s="9">
        <v>42247</v>
      </c>
      <c r="K19" s="1">
        <v>4607.1315789999999</v>
      </c>
      <c r="L19" s="1" t="s">
        <v>165</v>
      </c>
    </row>
    <row r="20" spans="1:12" x14ac:dyDescent="0.25">
      <c r="A20" t="s">
        <v>157</v>
      </c>
      <c r="B20" t="s">
        <v>181</v>
      </c>
      <c r="C20" t="s">
        <v>4</v>
      </c>
      <c r="D20" t="s">
        <v>162</v>
      </c>
      <c r="E20" t="s">
        <v>5</v>
      </c>
      <c r="F20" t="s">
        <v>6</v>
      </c>
      <c r="G20">
        <v>145417</v>
      </c>
      <c r="H20">
        <v>22</v>
      </c>
      <c r="I20" t="s">
        <v>79</v>
      </c>
      <c r="J20" s="9">
        <v>42230</v>
      </c>
      <c r="K20" s="1">
        <v>6609.863636</v>
      </c>
      <c r="L20" s="1" t="s">
        <v>165</v>
      </c>
    </row>
    <row r="21" spans="1:12" x14ac:dyDescent="0.25">
      <c r="A21" t="s">
        <v>157</v>
      </c>
      <c r="B21" t="s">
        <v>181</v>
      </c>
      <c r="C21" t="s">
        <v>4</v>
      </c>
      <c r="D21" t="s">
        <v>86</v>
      </c>
      <c r="E21" t="s">
        <v>5</v>
      </c>
      <c r="F21" t="s">
        <v>6</v>
      </c>
      <c r="G21">
        <v>164588</v>
      </c>
      <c r="H21">
        <v>41</v>
      </c>
      <c r="I21" t="s">
        <v>180</v>
      </c>
      <c r="J21" s="9">
        <v>42230</v>
      </c>
      <c r="K21" s="1">
        <v>4014.3414630000002</v>
      </c>
      <c r="L21" s="1" t="s">
        <v>165</v>
      </c>
    </row>
    <row r="22" spans="1:12" x14ac:dyDescent="0.25">
      <c r="A22" t="s">
        <v>157</v>
      </c>
      <c r="B22" t="s">
        <v>181</v>
      </c>
      <c r="C22" t="s">
        <v>16</v>
      </c>
      <c r="D22" t="s">
        <v>162</v>
      </c>
      <c r="E22" t="s">
        <v>5</v>
      </c>
      <c r="F22" t="s">
        <v>6</v>
      </c>
      <c r="G22">
        <v>197823</v>
      </c>
      <c r="H22">
        <v>28</v>
      </c>
      <c r="I22" t="s">
        <v>93</v>
      </c>
      <c r="J22" s="9">
        <v>42229</v>
      </c>
      <c r="K22" s="1">
        <v>7065.1071430000002</v>
      </c>
      <c r="L22" s="1" t="s">
        <v>165</v>
      </c>
    </row>
    <row r="23" spans="1:12" x14ac:dyDescent="0.25">
      <c r="A23" t="s">
        <v>157</v>
      </c>
      <c r="B23" t="s">
        <v>181</v>
      </c>
      <c r="C23" t="s">
        <v>47</v>
      </c>
      <c r="D23" t="s">
        <v>87</v>
      </c>
      <c r="E23" t="s">
        <v>9</v>
      </c>
      <c r="F23" t="s">
        <v>6</v>
      </c>
      <c r="G23">
        <v>164603</v>
      </c>
      <c r="H23">
        <v>35</v>
      </c>
      <c r="I23" t="s">
        <v>180</v>
      </c>
      <c r="J23" s="9">
        <v>42243</v>
      </c>
      <c r="K23" s="1">
        <v>4702.942857</v>
      </c>
      <c r="L23" s="1" t="s">
        <v>165</v>
      </c>
    </row>
    <row r="24" spans="1:12" x14ac:dyDescent="0.25">
      <c r="A24" t="s">
        <v>157</v>
      </c>
      <c r="B24" t="s">
        <v>181</v>
      </c>
      <c r="C24" t="s">
        <v>50</v>
      </c>
      <c r="D24" t="s">
        <v>88</v>
      </c>
      <c r="E24" t="s">
        <v>9</v>
      </c>
      <c r="F24" t="s">
        <v>6</v>
      </c>
      <c r="G24">
        <v>62393</v>
      </c>
      <c r="H24">
        <v>38</v>
      </c>
      <c r="I24" t="s">
        <v>180</v>
      </c>
      <c r="J24" s="9">
        <v>42244</v>
      </c>
      <c r="K24" s="1">
        <v>1641.921053</v>
      </c>
      <c r="L24" s="1" t="s">
        <v>167</v>
      </c>
    </row>
    <row r="25" spans="1:12" x14ac:dyDescent="0.25">
      <c r="A25" t="s">
        <v>157</v>
      </c>
      <c r="B25" t="s">
        <v>181</v>
      </c>
      <c r="C25" t="s">
        <v>143</v>
      </c>
      <c r="D25" t="s">
        <v>86</v>
      </c>
      <c r="E25" t="s">
        <v>5</v>
      </c>
      <c r="F25" t="s">
        <v>6</v>
      </c>
      <c r="G25">
        <v>236606</v>
      </c>
      <c r="H25">
        <v>36</v>
      </c>
      <c r="I25" t="s">
        <v>93</v>
      </c>
      <c r="J25" s="9">
        <v>42230</v>
      </c>
      <c r="K25" s="1">
        <v>6572.3888889999998</v>
      </c>
      <c r="L25" s="1" t="s">
        <v>166</v>
      </c>
    </row>
    <row r="26" spans="1:12" x14ac:dyDescent="0.25">
      <c r="A26" t="s">
        <v>157</v>
      </c>
      <c r="B26" t="s">
        <v>181</v>
      </c>
      <c r="C26" t="s">
        <v>182</v>
      </c>
      <c r="D26" t="s">
        <v>162</v>
      </c>
      <c r="E26" t="s">
        <v>5</v>
      </c>
      <c r="F26" t="s">
        <v>6</v>
      </c>
      <c r="G26">
        <v>141965</v>
      </c>
      <c r="H26">
        <v>24</v>
      </c>
      <c r="I26" t="s">
        <v>93</v>
      </c>
      <c r="J26" s="9">
        <v>42247</v>
      </c>
      <c r="K26" s="1">
        <v>5915.2083329999996</v>
      </c>
      <c r="L26" s="1" t="s">
        <v>165</v>
      </c>
    </row>
    <row r="27" spans="1:12" x14ac:dyDescent="0.25">
      <c r="A27" t="s">
        <v>157</v>
      </c>
      <c r="B27" t="s">
        <v>181</v>
      </c>
      <c r="C27" t="s">
        <v>15</v>
      </c>
      <c r="D27" t="s">
        <v>162</v>
      </c>
      <c r="E27" t="s">
        <v>5</v>
      </c>
      <c r="F27" t="s">
        <v>7</v>
      </c>
      <c r="G27">
        <v>79057</v>
      </c>
      <c r="H27">
        <v>32</v>
      </c>
      <c r="I27" t="s">
        <v>82</v>
      </c>
      <c r="J27" s="9">
        <v>42247</v>
      </c>
      <c r="K27" s="1">
        <v>2470.53125</v>
      </c>
      <c r="L27" s="1" t="s">
        <v>167</v>
      </c>
    </row>
    <row r="28" spans="1:12" x14ac:dyDescent="0.25">
      <c r="A28" t="s">
        <v>157</v>
      </c>
      <c r="B28" t="s">
        <v>181</v>
      </c>
      <c r="C28" t="s">
        <v>141</v>
      </c>
      <c r="D28" t="s">
        <v>91</v>
      </c>
      <c r="E28" t="s">
        <v>9</v>
      </c>
      <c r="F28" t="s">
        <v>6</v>
      </c>
      <c r="G28">
        <v>169756</v>
      </c>
      <c r="H28">
        <v>38</v>
      </c>
      <c r="I28" t="s">
        <v>81</v>
      </c>
      <c r="J28" s="9">
        <v>42236</v>
      </c>
      <c r="K28" s="1">
        <v>4467.2631579999997</v>
      </c>
      <c r="L28" s="1" t="s">
        <v>165</v>
      </c>
    </row>
    <row r="29" spans="1:12" x14ac:dyDescent="0.25">
      <c r="A29" t="s">
        <v>157</v>
      </c>
      <c r="B29" t="s">
        <v>181</v>
      </c>
      <c r="C29" t="s">
        <v>4</v>
      </c>
      <c r="D29" t="s">
        <v>163</v>
      </c>
      <c r="E29" t="s">
        <v>5</v>
      </c>
      <c r="F29" t="s">
        <v>6</v>
      </c>
      <c r="G29">
        <v>136293</v>
      </c>
      <c r="H29">
        <v>27</v>
      </c>
      <c r="I29" t="s">
        <v>79</v>
      </c>
      <c r="J29" s="9">
        <v>42230</v>
      </c>
      <c r="K29" s="1">
        <v>5047.8888889999998</v>
      </c>
      <c r="L29" s="1" t="s">
        <v>165</v>
      </c>
    </row>
    <row r="30" spans="1:12" x14ac:dyDescent="0.25">
      <c r="A30" t="s">
        <v>157</v>
      </c>
      <c r="B30" t="s">
        <v>181</v>
      </c>
      <c r="C30" t="s">
        <v>50</v>
      </c>
      <c r="D30" t="s">
        <v>88</v>
      </c>
      <c r="E30" t="s">
        <v>9</v>
      </c>
      <c r="F30" t="s">
        <v>6</v>
      </c>
      <c r="G30">
        <v>161296</v>
      </c>
      <c r="H30">
        <v>23</v>
      </c>
      <c r="I30" t="s">
        <v>180</v>
      </c>
      <c r="J30" s="9">
        <v>42244</v>
      </c>
      <c r="K30" s="1">
        <v>7012.869565</v>
      </c>
      <c r="L30" s="1" t="s">
        <v>165</v>
      </c>
    </row>
    <row r="31" spans="1:12" x14ac:dyDescent="0.25">
      <c r="A31" t="s">
        <v>157</v>
      </c>
      <c r="B31" t="s">
        <v>181</v>
      </c>
      <c r="C31" t="s">
        <v>130</v>
      </c>
      <c r="D31" t="s">
        <v>162</v>
      </c>
      <c r="E31" t="s">
        <v>5</v>
      </c>
      <c r="F31" t="s">
        <v>7</v>
      </c>
      <c r="G31">
        <v>137877</v>
      </c>
      <c r="H31">
        <v>22</v>
      </c>
      <c r="I31" t="s">
        <v>81</v>
      </c>
      <c r="J31" s="9">
        <v>42247</v>
      </c>
      <c r="K31" s="1">
        <v>6267.136364</v>
      </c>
      <c r="L31" s="1" t="s">
        <v>165</v>
      </c>
    </row>
    <row r="32" spans="1:12" x14ac:dyDescent="0.25">
      <c r="A32" t="s">
        <v>157</v>
      </c>
      <c r="B32" t="s">
        <v>181</v>
      </c>
      <c r="C32" t="s">
        <v>4</v>
      </c>
      <c r="D32" t="s">
        <v>163</v>
      </c>
      <c r="E32" t="s">
        <v>5</v>
      </c>
      <c r="F32" t="s">
        <v>6</v>
      </c>
      <c r="G32">
        <v>71518</v>
      </c>
      <c r="H32">
        <v>39</v>
      </c>
      <c r="I32" t="s">
        <v>180</v>
      </c>
      <c r="J32" s="9">
        <v>42230</v>
      </c>
      <c r="K32" s="1">
        <v>1833.7948719999999</v>
      </c>
      <c r="L32" s="1" t="s">
        <v>167</v>
      </c>
    </row>
    <row r="33" spans="1:12" x14ac:dyDescent="0.25">
      <c r="A33" t="s">
        <v>157</v>
      </c>
      <c r="B33" t="s">
        <v>181</v>
      </c>
      <c r="C33" t="s">
        <v>4</v>
      </c>
      <c r="D33" t="s">
        <v>163</v>
      </c>
      <c r="E33" t="s">
        <v>5</v>
      </c>
      <c r="F33" t="s">
        <v>6</v>
      </c>
      <c r="G33">
        <v>106536</v>
      </c>
      <c r="H33">
        <v>15</v>
      </c>
      <c r="I33" t="s">
        <v>180</v>
      </c>
      <c r="J33" s="9">
        <v>42230</v>
      </c>
      <c r="K33" s="1">
        <v>7102.4</v>
      </c>
      <c r="L33" s="1" t="s">
        <v>165</v>
      </c>
    </row>
    <row r="34" spans="1:12" x14ac:dyDescent="0.25">
      <c r="A34" t="s">
        <v>157</v>
      </c>
      <c r="B34" t="s">
        <v>181</v>
      </c>
      <c r="C34" t="s">
        <v>56</v>
      </c>
      <c r="D34" t="s">
        <v>88</v>
      </c>
      <c r="E34" t="s">
        <v>9</v>
      </c>
      <c r="F34" t="s">
        <v>6</v>
      </c>
      <c r="G34">
        <v>120304</v>
      </c>
      <c r="H34">
        <v>29</v>
      </c>
      <c r="I34" t="s">
        <v>79</v>
      </c>
      <c r="J34" s="9">
        <v>42247</v>
      </c>
      <c r="K34" s="1">
        <v>4148.4137929999997</v>
      </c>
      <c r="L34" s="1" t="s">
        <v>165</v>
      </c>
    </row>
    <row r="35" spans="1:12" x14ac:dyDescent="0.25">
      <c r="A35" t="s">
        <v>157</v>
      </c>
      <c r="B35" t="s">
        <v>181</v>
      </c>
      <c r="C35" t="s">
        <v>4</v>
      </c>
      <c r="D35" t="s">
        <v>163</v>
      </c>
      <c r="E35" t="s">
        <v>5</v>
      </c>
      <c r="F35" t="s">
        <v>6</v>
      </c>
      <c r="G35">
        <v>105978</v>
      </c>
      <c r="H35">
        <v>22</v>
      </c>
      <c r="I35" t="s">
        <v>180</v>
      </c>
      <c r="J35" s="9">
        <v>42230</v>
      </c>
      <c r="K35" s="1">
        <v>4817.181818</v>
      </c>
      <c r="L35" s="1" t="s">
        <v>165</v>
      </c>
    </row>
    <row r="36" spans="1:12" x14ac:dyDescent="0.25">
      <c r="A36" t="s">
        <v>157</v>
      </c>
      <c r="B36" t="s">
        <v>181</v>
      </c>
      <c r="C36" t="s">
        <v>4</v>
      </c>
      <c r="D36" t="s">
        <v>86</v>
      </c>
      <c r="E36" t="s">
        <v>5</v>
      </c>
      <c r="F36" t="s">
        <v>6</v>
      </c>
      <c r="G36">
        <v>216366</v>
      </c>
      <c r="H36">
        <v>29</v>
      </c>
      <c r="I36" t="s">
        <v>180</v>
      </c>
      <c r="J36" s="9">
        <v>42230</v>
      </c>
      <c r="K36" s="1">
        <v>7460.8965520000002</v>
      </c>
      <c r="L36" s="1" t="s">
        <v>166</v>
      </c>
    </row>
    <row r="37" spans="1:12" x14ac:dyDescent="0.25">
      <c r="A37" t="s">
        <v>157</v>
      </c>
      <c r="B37" t="s">
        <v>181</v>
      </c>
      <c r="C37" t="s">
        <v>193</v>
      </c>
      <c r="D37" t="s">
        <v>91</v>
      </c>
      <c r="E37" t="s">
        <v>9</v>
      </c>
      <c r="F37" t="s">
        <v>7</v>
      </c>
      <c r="G37">
        <v>124995</v>
      </c>
      <c r="H37">
        <v>32</v>
      </c>
      <c r="I37" t="s">
        <v>93</v>
      </c>
      <c r="J37" s="9">
        <v>42244</v>
      </c>
      <c r="K37" s="1">
        <v>3906.09375</v>
      </c>
      <c r="L37" s="1" t="s">
        <v>165</v>
      </c>
    </row>
    <row r="38" spans="1:12" x14ac:dyDescent="0.25">
      <c r="A38" t="s">
        <v>157</v>
      </c>
      <c r="B38" t="s">
        <v>181</v>
      </c>
      <c r="C38" t="s">
        <v>4</v>
      </c>
      <c r="D38" t="s">
        <v>163</v>
      </c>
      <c r="E38" t="s">
        <v>5</v>
      </c>
      <c r="F38" t="s">
        <v>6</v>
      </c>
      <c r="G38">
        <v>217511</v>
      </c>
      <c r="H38">
        <v>28</v>
      </c>
      <c r="I38" t="s">
        <v>79</v>
      </c>
      <c r="J38" s="9">
        <v>42230</v>
      </c>
      <c r="K38" s="1">
        <v>7768.25</v>
      </c>
      <c r="L38" s="1" t="s">
        <v>166</v>
      </c>
    </row>
    <row r="39" spans="1:12" x14ac:dyDescent="0.25">
      <c r="A39" t="s">
        <v>151</v>
      </c>
      <c r="B39" t="s">
        <v>181</v>
      </c>
      <c r="C39" t="s">
        <v>39</v>
      </c>
      <c r="D39" t="s">
        <v>162</v>
      </c>
      <c r="E39" t="s">
        <v>5</v>
      </c>
      <c r="F39" t="s">
        <v>7</v>
      </c>
      <c r="G39">
        <v>96052</v>
      </c>
      <c r="H39">
        <v>42</v>
      </c>
      <c r="I39" t="s">
        <v>81</v>
      </c>
      <c r="J39" s="9">
        <v>42247</v>
      </c>
      <c r="K39" s="1">
        <v>2286.9523810000001</v>
      </c>
      <c r="L39" s="1" t="s">
        <v>167</v>
      </c>
    </row>
    <row r="40" spans="1:12" x14ac:dyDescent="0.25">
      <c r="A40" t="s">
        <v>151</v>
      </c>
      <c r="B40" t="s">
        <v>181</v>
      </c>
      <c r="C40" t="s">
        <v>198</v>
      </c>
      <c r="D40" t="s">
        <v>88</v>
      </c>
      <c r="E40" t="s">
        <v>9</v>
      </c>
      <c r="F40" t="s">
        <v>7</v>
      </c>
      <c r="G40">
        <v>190081</v>
      </c>
      <c r="H40">
        <v>21</v>
      </c>
      <c r="I40" t="s">
        <v>180</v>
      </c>
      <c r="J40" s="9">
        <v>42236</v>
      </c>
      <c r="K40" s="1">
        <v>9051.4761899999994</v>
      </c>
      <c r="L40" s="1" t="s">
        <v>165</v>
      </c>
    </row>
    <row r="41" spans="1:12" x14ac:dyDescent="0.25">
      <c r="A41" t="s">
        <v>151</v>
      </c>
      <c r="B41" t="s">
        <v>181</v>
      </c>
      <c r="C41" t="s">
        <v>4</v>
      </c>
      <c r="D41" t="s">
        <v>86</v>
      </c>
      <c r="E41" t="s">
        <v>5</v>
      </c>
      <c r="F41" t="s">
        <v>6</v>
      </c>
      <c r="G41">
        <v>116835</v>
      </c>
      <c r="H41">
        <v>32</v>
      </c>
      <c r="I41" t="s">
        <v>81</v>
      </c>
      <c r="J41" s="9">
        <v>42230</v>
      </c>
      <c r="K41" s="1">
        <v>3651.09375</v>
      </c>
      <c r="L41" s="1" t="s">
        <v>165</v>
      </c>
    </row>
    <row r="42" spans="1:12" x14ac:dyDescent="0.25">
      <c r="A42" t="s">
        <v>151</v>
      </c>
      <c r="B42" t="s">
        <v>181</v>
      </c>
      <c r="C42" t="s">
        <v>130</v>
      </c>
      <c r="D42" t="s">
        <v>162</v>
      </c>
      <c r="E42" t="s">
        <v>5</v>
      </c>
      <c r="F42" t="s">
        <v>7</v>
      </c>
      <c r="G42">
        <v>102237</v>
      </c>
      <c r="H42">
        <v>21</v>
      </c>
      <c r="I42" t="s">
        <v>79</v>
      </c>
      <c r="J42" s="9">
        <v>42247</v>
      </c>
      <c r="K42" s="1">
        <v>4868.4285710000004</v>
      </c>
      <c r="L42" s="1" t="s">
        <v>165</v>
      </c>
    </row>
    <row r="43" spans="1:12" x14ac:dyDescent="0.25">
      <c r="A43" t="s">
        <v>151</v>
      </c>
      <c r="B43" t="s">
        <v>181</v>
      </c>
      <c r="C43" t="s">
        <v>130</v>
      </c>
      <c r="D43" t="s">
        <v>162</v>
      </c>
      <c r="E43" t="s">
        <v>5</v>
      </c>
      <c r="F43" t="s">
        <v>7</v>
      </c>
      <c r="G43">
        <v>143392</v>
      </c>
      <c r="H43">
        <v>39</v>
      </c>
      <c r="I43" t="s">
        <v>81</v>
      </c>
      <c r="J43" s="9">
        <v>42247</v>
      </c>
      <c r="K43" s="1">
        <v>3676.7179489999999</v>
      </c>
      <c r="L43" s="1" t="s">
        <v>165</v>
      </c>
    </row>
    <row r="44" spans="1:12" x14ac:dyDescent="0.25">
      <c r="A44" t="s">
        <v>151</v>
      </c>
      <c r="B44" t="s">
        <v>181</v>
      </c>
      <c r="C44" t="s">
        <v>4</v>
      </c>
      <c r="D44" t="s">
        <v>162</v>
      </c>
      <c r="E44" t="s">
        <v>5</v>
      </c>
      <c r="F44" t="s">
        <v>6</v>
      </c>
      <c r="G44">
        <v>126641</v>
      </c>
      <c r="H44">
        <v>19</v>
      </c>
      <c r="I44" t="s">
        <v>79</v>
      </c>
      <c r="J44" s="9">
        <v>42230</v>
      </c>
      <c r="K44" s="1">
        <v>6665.3157890000002</v>
      </c>
      <c r="L44" s="1" t="s">
        <v>165</v>
      </c>
    </row>
    <row r="45" spans="1:12" x14ac:dyDescent="0.25">
      <c r="A45" t="s">
        <v>151</v>
      </c>
      <c r="B45" t="s">
        <v>181</v>
      </c>
      <c r="C45" t="s">
        <v>4</v>
      </c>
      <c r="D45" t="s">
        <v>163</v>
      </c>
      <c r="E45" t="s">
        <v>5</v>
      </c>
      <c r="F45" t="s">
        <v>6</v>
      </c>
      <c r="G45">
        <v>195820</v>
      </c>
      <c r="H45">
        <v>34</v>
      </c>
      <c r="I45" t="s">
        <v>81</v>
      </c>
      <c r="J45" s="9">
        <v>42230</v>
      </c>
      <c r="K45" s="1">
        <v>5759.4117649999998</v>
      </c>
      <c r="L45" s="1" t="s">
        <v>165</v>
      </c>
    </row>
    <row r="46" spans="1:12" x14ac:dyDescent="0.25">
      <c r="A46" t="s">
        <v>151</v>
      </c>
      <c r="B46" t="s">
        <v>181</v>
      </c>
      <c r="C46" t="s">
        <v>4</v>
      </c>
      <c r="D46" t="s">
        <v>86</v>
      </c>
      <c r="E46" t="s">
        <v>5</v>
      </c>
      <c r="F46" t="s">
        <v>6</v>
      </c>
      <c r="G46">
        <v>110491</v>
      </c>
      <c r="H46">
        <v>31</v>
      </c>
      <c r="I46" t="s">
        <v>79</v>
      </c>
      <c r="J46" s="9">
        <v>42230</v>
      </c>
      <c r="K46" s="1">
        <v>3564.2258059999999</v>
      </c>
      <c r="L46" s="1" t="s">
        <v>165</v>
      </c>
    </row>
    <row r="47" spans="1:12" x14ac:dyDescent="0.25">
      <c r="A47" t="s">
        <v>151</v>
      </c>
      <c r="B47" t="s">
        <v>181</v>
      </c>
      <c r="C47" t="s">
        <v>17</v>
      </c>
      <c r="D47" t="s">
        <v>89</v>
      </c>
      <c r="E47" t="s">
        <v>9</v>
      </c>
      <c r="F47" t="s">
        <v>10</v>
      </c>
      <c r="G47">
        <v>68830</v>
      </c>
      <c r="H47">
        <v>22</v>
      </c>
      <c r="I47" t="s">
        <v>79</v>
      </c>
      <c r="J47" s="9">
        <v>42235</v>
      </c>
      <c r="K47" s="1">
        <v>3128.636364</v>
      </c>
      <c r="L47" s="1" t="s">
        <v>167</v>
      </c>
    </row>
    <row r="48" spans="1:12" x14ac:dyDescent="0.25">
      <c r="A48" t="s">
        <v>151</v>
      </c>
      <c r="B48" t="s">
        <v>181</v>
      </c>
      <c r="C48" t="s">
        <v>39</v>
      </c>
      <c r="D48" t="s">
        <v>162</v>
      </c>
      <c r="E48" t="s">
        <v>5</v>
      </c>
      <c r="F48" t="s">
        <v>7</v>
      </c>
      <c r="G48">
        <v>149151</v>
      </c>
      <c r="H48">
        <v>16</v>
      </c>
      <c r="I48" t="s">
        <v>79</v>
      </c>
      <c r="J48" s="9">
        <v>42247</v>
      </c>
      <c r="K48" s="1">
        <v>9321.9375</v>
      </c>
      <c r="L48" s="1" t="s">
        <v>165</v>
      </c>
    </row>
    <row r="49" spans="1:12" x14ac:dyDescent="0.25">
      <c r="A49" t="s">
        <v>151</v>
      </c>
      <c r="B49" t="s">
        <v>181</v>
      </c>
      <c r="C49" t="s">
        <v>124</v>
      </c>
      <c r="D49" t="s">
        <v>162</v>
      </c>
      <c r="E49" t="s">
        <v>5</v>
      </c>
      <c r="F49" t="s">
        <v>6</v>
      </c>
      <c r="G49">
        <v>108513</v>
      </c>
      <c r="H49">
        <v>24</v>
      </c>
      <c r="I49" t="s">
        <v>93</v>
      </c>
      <c r="J49" s="9">
        <v>42240</v>
      </c>
      <c r="K49" s="1">
        <v>4521.375</v>
      </c>
      <c r="L49" s="1" t="s">
        <v>165</v>
      </c>
    </row>
    <row r="50" spans="1:12" x14ac:dyDescent="0.25">
      <c r="A50" t="s">
        <v>151</v>
      </c>
      <c r="B50" t="s">
        <v>181</v>
      </c>
      <c r="C50" t="s">
        <v>4</v>
      </c>
      <c r="D50" t="s">
        <v>163</v>
      </c>
      <c r="E50" t="s">
        <v>5</v>
      </c>
      <c r="F50" t="s">
        <v>6</v>
      </c>
      <c r="G50">
        <v>181185</v>
      </c>
      <c r="H50">
        <v>18</v>
      </c>
      <c r="I50" t="s">
        <v>81</v>
      </c>
      <c r="J50" s="9">
        <v>42230</v>
      </c>
      <c r="K50" s="1">
        <v>10065.833329999999</v>
      </c>
      <c r="L50" s="1" t="s">
        <v>165</v>
      </c>
    </row>
    <row r="51" spans="1:12" x14ac:dyDescent="0.25">
      <c r="A51" t="s">
        <v>151</v>
      </c>
      <c r="B51" t="s">
        <v>181</v>
      </c>
      <c r="C51" t="s">
        <v>130</v>
      </c>
      <c r="D51" t="s">
        <v>162</v>
      </c>
      <c r="E51" t="s">
        <v>5</v>
      </c>
      <c r="F51" t="s">
        <v>7</v>
      </c>
      <c r="G51">
        <v>51754</v>
      </c>
      <c r="H51">
        <v>20</v>
      </c>
      <c r="I51" t="s">
        <v>79</v>
      </c>
      <c r="J51" s="9">
        <v>42247</v>
      </c>
      <c r="K51" s="1">
        <v>2587.6999999999998</v>
      </c>
      <c r="L51" s="1" t="s">
        <v>167</v>
      </c>
    </row>
    <row r="52" spans="1:12" x14ac:dyDescent="0.25">
      <c r="A52" t="s">
        <v>151</v>
      </c>
      <c r="B52" t="s">
        <v>181</v>
      </c>
      <c r="C52" t="s">
        <v>111</v>
      </c>
      <c r="D52" t="s">
        <v>87</v>
      </c>
      <c r="E52" t="s">
        <v>9</v>
      </c>
      <c r="F52" t="s">
        <v>6</v>
      </c>
      <c r="G52">
        <v>111529</v>
      </c>
      <c r="H52">
        <v>29</v>
      </c>
      <c r="I52" t="s">
        <v>180</v>
      </c>
      <c r="J52" s="9">
        <v>42235</v>
      </c>
      <c r="K52" s="1">
        <v>3845.8275859999999</v>
      </c>
      <c r="L52" s="1" t="s">
        <v>165</v>
      </c>
    </row>
    <row r="53" spans="1:12" x14ac:dyDescent="0.25">
      <c r="A53" t="s">
        <v>151</v>
      </c>
      <c r="B53" t="s">
        <v>181</v>
      </c>
      <c r="C53" t="s">
        <v>49</v>
      </c>
      <c r="D53" t="s">
        <v>87</v>
      </c>
      <c r="E53" t="s">
        <v>9</v>
      </c>
      <c r="F53" t="s">
        <v>6</v>
      </c>
      <c r="G53">
        <v>194179</v>
      </c>
      <c r="H53">
        <v>32</v>
      </c>
      <c r="I53" t="s">
        <v>79</v>
      </c>
      <c r="J53" s="9">
        <v>42240</v>
      </c>
      <c r="K53" s="1">
        <v>6068.09375</v>
      </c>
      <c r="L53" s="1" t="s">
        <v>165</v>
      </c>
    </row>
    <row r="54" spans="1:12" x14ac:dyDescent="0.25">
      <c r="A54" t="s">
        <v>151</v>
      </c>
      <c r="B54" t="s">
        <v>181</v>
      </c>
      <c r="C54" t="s">
        <v>4</v>
      </c>
      <c r="D54" t="s">
        <v>86</v>
      </c>
      <c r="E54" t="s">
        <v>5</v>
      </c>
      <c r="F54" t="s">
        <v>6</v>
      </c>
      <c r="G54">
        <v>164188</v>
      </c>
      <c r="H54">
        <v>42</v>
      </c>
      <c r="I54" t="s">
        <v>180</v>
      </c>
      <c r="J54" s="9">
        <v>42230</v>
      </c>
      <c r="K54" s="1">
        <v>3909.2380950000002</v>
      </c>
      <c r="L54" s="1" t="s">
        <v>165</v>
      </c>
    </row>
    <row r="55" spans="1:12" x14ac:dyDescent="0.25">
      <c r="A55" t="s">
        <v>151</v>
      </c>
      <c r="B55" t="s">
        <v>181</v>
      </c>
      <c r="C55" t="s">
        <v>130</v>
      </c>
      <c r="D55" t="s">
        <v>86</v>
      </c>
      <c r="E55" t="s">
        <v>5</v>
      </c>
      <c r="F55" t="s">
        <v>7</v>
      </c>
      <c r="G55">
        <v>121544</v>
      </c>
      <c r="H55">
        <v>16</v>
      </c>
      <c r="I55" t="s">
        <v>81</v>
      </c>
      <c r="J55" s="9">
        <v>42242</v>
      </c>
      <c r="K55" s="1">
        <v>7596.5</v>
      </c>
      <c r="L55" s="1" t="s">
        <v>165</v>
      </c>
    </row>
    <row r="56" spans="1:12" x14ac:dyDescent="0.25">
      <c r="A56" t="s">
        <v>151</v>
      </c>
      <c r="B56" t="s">
        <v>181</v>
      </c>
      <c r="C56" t="s">
        <v>130</v>
      </c>
      <c r="D56" t="s">
        <v>162</v>
      </c>
      <c r="E56" t="s">
        <v>5</v>
      </c>
      <c r="F56" t="s">
        <v>7</v>
      </c>
      <c r="G56">
        <v>132595</v>
      </c>
      <c r="H56">
        <v>16</v>
      </c>
      <c r="I56" t="s">
        <v>79</v>
      </c>
      <c r="J56" s="9">
        <v>42247</v>
      </c>
      <c r="K56" s="1">
        <v>8287.1875</v>
      </c>
      <c r="L56" s="1" t="s">
        <v>165</v>
      </c>
    </row>
    <row r="57" spans="1:12" x14ac:dyDescent="0.25">
      <c r="A57" t="s">
        <v>151</v>
      </c>
      <c r="B57" t="s">
        <v>181</v>
      </c>
      <c r="C57" t="s">
        <v>48</v>
      </c>
      <c r="D57" t="s">
        <v>87</v>
      </c>
      <c r="E57" t="s">
        <v>9</v>
      </c>
      <c r="F57" t="s">
        <v>6</v>
      </c>
      <c r="G57">
        <v>170365</v>
      </c>
      <c r="H57">
        <v>17</v>
      </c>
      <c r="I57" t="s">
        <v>180</v>
      </c>
      <c r="J57" s="9">
        <v>42236</v>
      </c>
      <c r="K57" s="1">
        <v>10021.470590000001</v>
      </c>
      <c r="L57" s="1" t="s">
        <v>165</v>
      </c>
    </row>
    <row r="58" spans="1:12" x14ac:dyDescent="0.25">
      <c r="A58" t="s">
        <v>151</v>
      </c>
      <c r="B58" t="s">
        <v>181</v>
      </c>
      <c r="C58" t="s">
        <v>188</v>
      </c>
      <c r="D58" t="s">
        <v>87</v>
      </c>
      <c r="E58" t="s">
        <v>9</v>
      </c>
      <c r="F58" t="s">
        <v>7</v>
      </c>
      <c r="G58">
        <v>113234</v>
      </c>
      <c r="H58">
        <v>25</v>
      </c>
      <c r="I58" t="s">
        <v>180</v>
      </c>
      <c r="J58" s="9">
        <v>42229</v>
      </c>
      <c r="K58" s="1">
        <v>4529.3599999999997</v>
      </c>
      <c r="L58" s="1" t="s">
        <v>165</v>
      </c>
    </row>
    <row r="59" spans="1:12" x14ac:dyDescent="0.25">
      <c r="A59" t="s">
        <v>151</v>
      </c>
      <c r="B59" t="s">
        <v>181</v>
      </c>
      <c r="C59" t="s">
        <v>4</v>
      </c>
      <c r="D59" t="s">
        <v>163</v>
      </c>
      <c r="E59" t="s">
        <v>5</v>
      </c>
      <c r="F59" t="s">
        <v>6</v>
      </c>
      <c r="G59">
        <v>226741</v>
      </c>
      <c r="H59">
        <v>26</v>
      </c>
      <c r="I59" t="s">
        <v>81</v>
      </c>
      <c r="J59" s="9">
        <v>42230</v>
      </c>
      <c r="K59" s="1">
        <v>8720.8076920000003</v>
      </c>
      <c r="L59" s="1" t="s">
        <v>166</v>
      </c>
    </row>
    <row r="60" spans="1:12" x14ac:dyDescent="0.25">
      <c r="A60" t="s">
        <v>151</v>
      </c>
      <c r="B60" t="s">
        <v>181</v>
      </c>
      <c r="C60" t="s">
        <v>72</v>
      </c>
      <c r="D60" t="s">
        <v>91</v>
      </c>
      <c r="E60" t="s">
        <v>9</v>
      </c>
      <c r="F60" t="s">
        <v>7</v>
      </c>
      <c r="G60">
        <v>206321</v>
      </c>
      <c r="H60">
        <v>21</v>
      </c>
      <c r="I60" t="s">
        <v>180</v>
      </c>
      <c r="J60" s="9">
        <v>42228</v>
      </c>
      <c r="K60" s="1">
        <v>9824.8095240000002</v>
      </c>
      <c r="L60" s="1" t="s">
        <v>166</v>
      </c>
    </row>
    <row r="61" spans="1:12" x14ac:dyDescent="0.25">
      <c r="A61" t="s">
        <v>151</v>
      </c>
      <c r="B61" t="s">
        <v>181</v>
      </c>
      <c r="C61" t="s">
        <v>4</v>
      </c>
      <c r="D61" t="s">
        <v>86</v>
      </c>
      <c r="E61" t="s">
        <v>5</v>
      </c>
      <c r="F61" t="s">
        <v>6</v>
      </c>
      <c r="G61">
        <v>69721</v>
      </c>
      <c r="H61">
        <v>28</v>
      </c>
      <c r="I61" t="s">
        <v>180</v>
      </c>
      <c r="J61" s="9">
        <v>42230</v>
      </c>
      <c r="K61" s="1">
        <v>2490.0357140000001</v>
      </c>
      <c r="L61" s="1" t="s">
        <v>167</v>
      </c>
    </row>
    <row r="62" spans="1:12" x14ac:dyDescent="0.25">
      <c r="A62" t="s">
        <v>151</v>
      </c>
      <c r="B62" t="s">
        <v>181</v>
      </c>
      <c r="C62" t="s">
        <v>122</v>
      </c>
      <c r="D62" t="s">
        <v>162</v>
      </c>
      <c r="E62" t="s">
        <v>5</v>
      </c>
      <c r="F62" t="s">
        <v>12</v>
      </c>
      <c r="G62">
        <v>76974</v>
      </c>
      <c r="H62">
        <v>17</v>
      </c>
      <c r="I62" t="s">
        <v>82</v>
      </c>
      <c r="J62" s="9">
        <v>42247</v>
      </c>
      <c r="K62" s="1">
        <v>4527.882353</v>
      </c>
      <c r="L62" s="1" t="s">
        <v>167</v>
      </c>
    </row>
    <row r="63" spans="1:12" x14ac:dyDescent="0.25">
      <c r="A63" t="s">
        <v>151</v>
      </c>
      <c r="B63" t="s">
        <v>181</v>
      </c>
      <c r="C63" t="s">
        <v>17</v>
      </c>
      <c r="D63" t="s">
        <v>89</v>
      </c>
      <c r="E63" t="s">
        <v>9</v>
      </c>
      <c r="F63" t="s">
        <v>10</v>
      </c>
      <c r="G63">
        <v>174407</v>
      </c>
      <c r="H63">
        <v>22</v>
      </c>
      <c r="I63" t="s">
        <v>79</v>
      </c>
      <c r="J63" s="9">
        <v>42235</v>
      </c>
      <c r="K63" s="1">
        <v>7927.5909089999996</v>
      </c>
      <c r="L63" s="1" t="s">
        <v>165</v>
      </c>
    </row>
    <row r="64" spans="1:12" x14ac:dyDescent="0.25">
      <c r="A64" t="s">
        <v>151</v>
      </c>
      <c r="B64" t="s">
        <v>181</v>
      </c>
      <c r="C64" t="s">
        <v>130</v>
      </c>
      <c r="D64" t="s">
        <v>162</v>
      </c>
      <c r="E64" t="s">
        <v>5</v>
      </c>
      <c r="F64" t="s">
        <v>7</v>
      </c>
      <c r="G64">
        <v>149823</v>
      </c>
      <c r="H64">
        <v>40</v>
      </c>
      <c r="I64" t="s">
        <v>79</v>
      </c>
      <c r="J64" s="9">
        <v>42247</v>
      </c>
      <c r="K64" s="1">
        <v>3745.5749999999998</v>
      </c>
      <c r="L64" s="1" t="s">
        <v>165</v>
      </c>
    </row>
    <row r="65" spans="1:12" x14ac:dyDescent="0.25">
      <c r="A65" t="s">
        <v>151</v>
      </c>
      <c r="B65" t="s">
        <v>181</v>
      </c>
      <c r="C65" t="s">
        <v>4</v>
      </c>
      <c r="D65" t="s">
        <v>162</v>
      </c>
      <c r="E65" t="s">
        <v>5</v>
      </c>
      <c r="F65" t="s">
        <v>7</v>
      </c>
      <c r="G65">
        <v>68074</v>
      </c>
      <c r="H65">
        <v>18</v>
      </c>
      <c r="I65" t="s">
        <v>180</v>
      </c>
      <c r="J65" s="9">
        <v>42233</v>
      </c>
      <c r="K65" s="1">
        <v>3781.8888889999998</v>
      </c>
      <c r="L65" s="1" t="s">
        <v>167</v>
      </c>
    </row>
    <row r="66" spans="1:12" x14ac:dyDescent="0.25">
      <c r="A66" t="s">
        <v>152</v>
      </c>
      <c r="B66" t="s">
        <v>181</v>
      </c>
      <c r="C66" t="s">
        <v>116</v>
      </c>
      <c r="D66" t="s">
        <v>87</v>
      </c>
      <c r="E66" t="s">
        <v>9</v>
      </c>
      <c r="F66" t="s">
        <v>6</v>
      </c>
      <c r="G66">
        <v>204873</v>
      </c>
      <c r="H66">
        <v>39</v>
      </c>
      <c r="I66" t="s">
        <v>93</v>
      </c>
      <c r="J66" s="9">
        <v>42244</v>
      </c>
      <c r="K66" s="1">
        <v>5253.1538460000002</v>
      </c>
      <c r="L66" s="1" t="s">
        <v>166</v>
      </c>
    </row>
    <row r="67" spans="1:12" x14ac:dyDescent="0.25">
      <c r="A67" t="s">
        <v>152</v>
      </c>
      <c r="B67" t="s">
        <v>181</v>
      </c>
      <c r="C67" t="s">
        <v>4</v>
      </c>
      <c r="D67" t="s">
        <v>86</v>
      </c>
      <c r="E67" t="s">
        <v>5</v>
      </c>
      <c r="F67" t="s">
        <v>6</v>
      </c>
      <c r="G67">
        <v>135721</v>
      </c>
      <c r="H67">
        <v>34</v>
      </c>
      <c r="I67" t="s">
        <v>82</v>
      </c>
      <c r="J67" s="9">
        <v>42230</v>
      </c>
      <c r="K67" s="1">
        <v>3991.7941179999998</v>
      </c>
      <c r="L67" s="1" t="s">
        <v>165</v>
      </c>
    </row>
    <row r="68" spans="1:12" x14ac:dyDescent="0.25">
      <c r="A68" t="s">
        <v>152</v>
      </c>
      <c r="B68" t="s">
        <v>181</v>
      </c>
      <c r="C68" t="s">
        <v>130</v>
      </c>
      <c r="D68" t="s">
        <v>162</v>
      </c>
      <c r="E68" t="s">
        <v>5</v>
      </c>
      <c r="F68" t="s">
        <v>7</v>
      </c>
      <c r="G68">
        <v>239233</v>
      </c>
      <c r="H68">
        <v>20</v>
      </c>
      <c r="I68" t="s">
        <v>82</v>
      </c>
      <c r="J68" s="9">
        <v>42247</v>
      </c>
      <c r="K68" s="1">
        <v>11961.65</v>
      </c>
      <c r="L68" s="1" t="s">
        <v>166</v>
      </c>
    </row>
    <row r="69" spans="1:12" x14ac:dyDescent="0.25">
      <c r="A69" t="s">
        <v>152</v>
      </c>
      <c r="B69" t="s">
        <v>181</v>
      </c>
      <c r="C69" t="s">
        <v>130</v>
      </c>
      <c r="D69" t="s">
        <v>162</v>
      </c>
      <c r="E69" t="s">
        <v>5</v>
      </c>
      <c r="F69" t="s">
        <v>7</v>
      </c>
      <c r="G69">
        <v>203792</v>
      </c>
      <c r="H69">
        <v>26</v>
      </c>
      <c r="I69" t="s">
        <v>81</v>
      </c>
      <c r="J69" s="9">
        <v>42247</v>
      </c>
      <c r="K69" s="1">
        <v>7838.1538460000002</v>
      </c>
      <c r="L69" s="1" t="s">
        <v>166</v>
      </c>
    </row>
    <row r="70" spans="1:12" x14ac:dyDescent="0.25">
      <c r="A70" t="s">
        <v>152</v>
      </c>
      <c r="B70" t="s">
        <v>181</v>
      </c>
      <c r="C70" t="s">
        <v>140</v>
      </c>
      <c r="D70" t="s">
        <v>87</v>
      </c>
      <c r="E70" t="s">
        <v>9</v>
      </c>
      <c r="F70" t="s">
        <v>6</v>
      </c>
      <c r="G70">
        <v>72604</v>
      </c>
      <c r="H70">
        <v>31</v>
      </c>
      <c r="I70" t="s">
        <v>81</v>
      </c>
      <c r="J70" s="9">
        <v>42244</v>
      </c>
      <c r="K70" s="1">
        <v>2342.0645159999999</v>
      </c>
      <c r="L70" s="1" t="s">
        <v>167</v>
      </c>
    </row>
    <row r="71" spans="1:12" x14ac:dyDescent="0.25">
      <c r="A71" t="s">
        <v>152</v>
      </c>
      <c r="B71" t="s">
        <v>181</v>
      </c>
      <c r="C71" t="s">
        <v>56</v>
      </c>
      <c r="D71" t="s">
        <v>88</v>
      </c>
      <c r="E71" t="s">
        <v>9</v>
      </c>
      <c r="F71" t="s">
        <v>6</v>
      </c>
      <c r="G71">
        <v>202638</v>
      </c>
      <c r="H71">
        <v>39</v>
      </c>
      <c r="I71" t="s">
        <v>180</v>
      </c>
      <c r="J71" s="9">
        <v>42247</v>
      </c>
      <c r="K71" s="1">
        <v>5195.8461539999998</v>
      </c>
      <c r="L71" s="1" t="s">
        <v>166</v>
      </c>
    </row>
    <row r="72" spans="1:12" x14ac:dyDescent="0.25">
      <c r="A72" t="s">
        <v>152</v>
      </c>
      <c r="B72" t="s">
        <v>181</v>
      </c>
      <c r="C72" t="s">
        <v>137</v>
      </c>
      <c r="D72" t="s">
        <v>88</v>
      </c>
      <c r="E72" t="s">
        <v>9</v>
      </c>
      <c r="F72" t="s">
        <v>6</v>
      </c>
      <c r="G72">
        <v>53364</v>
      </c>
      <c r="H72">
        <v>26</v>
      </c>
      <c r="I72" t="s">
        <v>180</v>
      </c>
      <c r="J72" s="9">
        <v>42235</v>
      </c>
      <c r="K72" s="1">
        <v>2052.461538</v>
      </c>
      <c r="L72" s="1" t="s">
        <v>167</v>
      </c>
    </row>
    <row r="73" spans="1:12" x14ac:dyDescent="0.25">
      <c r="A73" t="s">
        <v>152</v>
      </c>
      <c r="B73" t="s">
        <v>181</v>
      </c>
      <c r="C73" t="s">
        <v>4</v>
      </c>
      <c r="D73" t="s">
        <v>162</v>
      </c>
      <c r="E73" t="s">
        <v>5</v>
      </c>
      <c r="F73" t="s">
        <v>6</v>
      </c>
      <c r="G73">
        <v>242535</v>
      </c>
      <c r="H73">
        <v>21</v>
      </c>
      <c r="I73" t="s">
        <v>93</v>
      </c>
      <c r="J73" s="9">
        <v>42237</v>
      </c>
      <c r="K73" s="1">
        <v>11549.28571</v>
      </c>
      <c r="L73" s="1" t="s">
        <v>166</v>
      </c>
    </row>
    <row r="74" spans="1:12" x14ac:dyDescent="0.25">
      <c r="A74" t="s">
        <v>152</v>
      </c>
      <c r="B74" t="s">
        <v>181</v>
      </c>
      <c r="C74" t="s">
        <v>130</v>
      </c>
      <c r="D74" t="s">
        <v>162</v>
      </c>
      <c r="E74" t="s">
        <v>5</v>
      </c>
      <c r="F74" t="s">
        <v>7</v>
      </c>
      <c r="G74">
        <v>242600</v>
      </c>
      <c r="H74">
        <v>20</v>
      </c>
      <c r="I74" t="s">
        <v>79</v>
      </c>
      <c r="J74" s="9">
        <v>42247</v>
      </c>
      <c r="K74" s="1">
        <v>12130</v>
      </c>
      <c r="L74" s="1" t="s">
        <v>166</v>
      </c>
    </row>
    <row r="75" spans="1:12" x14ac:dyDescent="0.25">
      <c r="A75" t="s">
        <v>152</v>
      </c>
      <c r="B75" t="s">
        <v>181</v>
      </c>
      <c r="C75" t="s">
        <v>130</v>
      </c>
      <c r="D75" t="s">
        <v>162</v>
      </c>
      <c r="E75" t="s">
        <v>5</v>
      </c>
      <c r="F75" t="s">
        <v>7</v>
      </c>
      <c r="G75">
        <v>154734</v>
      </c>
      <c r="H75">
        <v>25</v>
      </c>
      <c r="I75" t="s">
        <v>79</v>
      </c>
      <c r="J75" s="9">
        <v>42247</v>
      </c>
      <c r="K75" s="1">
        <v>6189.36</v>
      </c>
      <c r="L75" s="1" t="s">
        <v>165</v>
      </c>
    </row>
    <row r="76" spans="1:12" x14ac:dyDescent="0.25">
      <c r="A76" t="s">
        <v>152</v>
      </c>
      <c r="B76" t="s">
        <v>181</v>
      </c>
      <c r="C76" t="s">
        <v>130</v>
      </c>
      <c r="D76" t="s">
        <v>162</v>
      </c>
      <c r="E76" t="s">
        <v>5</v>
      </c>
      <c r="F76" t="s">
        <v>7</v>
      </c>
      <c r="G76">
        <v>234847</v>
      </c>
      <c r="H76">
        <v>31</v>
      </c>
      <c r="I76" t="s">
        <v>180</v>
      </c>
      <c r="J76" s="9">
        <v>42247</v>
      </c>
      <c r="K76" s="1">
        <v>7575.7096769999998</v>
      </c>
      <c r="L76" s="1" t="s">
        <v>166</v>
      </c>
    </row>
    <row r="77" spans="1:12" x14ac:dyDescent="0.25">
      <c r="A77" t="s">
        <v>152</v>
      </c>
      <c r="B77" t="s">
        <v>181</v>
      </c>
      <c r="C77" t="s">
        <v>130</v>
      </c>
      <c r="D77" t="s">
        <v>162</v>
      </c>
      <c r="E77" t="s">
        <v>5</v>
      </c>
      <c r="F77" t="s">
        <v>7</v>
      </c>
      <c r="G77">
        <v>205722</v>
      </c>
      <c r="H77">
        <v>25</v>
      </c>
      <c r="I77" t="s">
        <v>81</v>
      </c>
      <c r="J77" s="9">
        <v>42247</v>
      </c>
      <c r="K77" s="1">
        <v>8228.8799999999992</v>
      </c>
      <c r="L77" s="1" t="s">
        <v>166</v>
      </c>
    </row>
    <row r="78" spans="1:12" x14ac:dyDescent="0.25">
      <c r="A78" t="s">
        <v>152</v>
      </c>
      <c r="B78" t="s">
        <v>181</v>
      </c>
      <c r="C78" t="s">
        <v>56</v>
      </c>
      <c r="D78" t="s">
        <v>88</v>
      </c>
      <c r="E78" t="s">
        <v>9</v>
      </c>
      <c r="F78" t="s">
        <v>6</v>
      </c>
      <c r="G78">
        <v>200068</v>
      </c>
      <c r="H78">
        <v>15</v>
      </c>
      <c r="I78" t="s">
        <v>79</v>
      </c>
      <c r="J78" s="9">
        <v>42247</v>
      </c>
      <c r="K78" s="1">
        <v>13337.866669999999</v>
      </c>
      <c r="L78" s="1" t="s">
        <v>166</v>
      </c>
    </row>
    <row r="79" spans="1:12" x14ac:dyDescent="0.25">
      <c r="A79" t="s">
        <v>152</v>
      </c>
      <c r="B79" t="s">
        <v>181</v>
      </c>
      <c r="C79" t="s">
        <v>140</v>
      </c>
      <c r="D79" t="s">
        <v>87</v>
      </c>
      <c r="E79" t="s">
        <v>9</v>
      </c>
      <c r="F79" t="s">
        <v>6</v>
      </c>
      <c r="G79">
        <v>175818</v>
      </c>
      <c r="H79">
        <v>40</v>
      </c>
      <c r="I79" t="s">
        <v>81</v>
      </c>
      <c r="J79" s="9">
        <v>42244</v>
      </c>
      <c r="K79" s="1">
        <v>4395.45</v>
      </c>
      <c r="L79" s="1" t="s">
        <v>165</v>
      </c>
    </row>
    <row r="80" spans="1:12" x14ac:dyDescent="0.25">
      <c r="A80" t="s">
        <v>152</v>
      </c>
      <c r="B80" t="s">
        <v>181</v>
      </c>
      <c r="C80" t="s">
        <v>50</v>
      </c>
      <c r="D80" t="s">
        <v>87</v>
      </c>
      <c r="E80" t="s">
        <v>9</v>
      </c>
      <c r="F80" t="s">
        <v>6</v>
      </c>
      <c r="G80">
        <v>158704</v>
      </c>
      <c r="H80">
        <v>19</v>
      </c>
      <c r="I80" t="s">
        <v>93</v>
      </c>
      <c r="J80" s="9">
        <v>42244</v>
      </c>
      <c r="K80" s="1">
        <v>8352.8421049999997</v>
      </c>
      <c r="L80" s="1" t="s">
        <v>165</v>
      </c>
    </row>
    <row r="81" spans="1:12" x14ac:dyDescent="0.25">
      <c r="A81" t="s">
        <v>153</v>
      </c>
      <c r="B81" t="s">
        <v>181</v>
      </c>
      <c r="C81" t="s">
        <v>4</v>
      </c>
      <c r="D81" t="s">
        <v>86</v>
      </c>
      <c r="E81" t="s">
        <v>5</v>
      </c>
      <c r="F81" t="s">
        <v>6</v>
      </c>
      <c r="G81">
        <v>104352</v>
      </c>
      <c r="H81">
        <v>38</v>
      </c>
      <c r="I81" t="s">
        <v>79</v>
      </c>
      <c r="J81" s="9">
        <v>42230</v>
      </c>
      <c r="K81" s="1">
        <v>2746.1052629999999</v>
      </c>
      <c r="L81" s="1" t="s">
        <v>165</v>
      </c>
    </row>
    <row r="82" spans="1:12" x14ac:dyDescent="0.25">
      <c r="A82" t="s">
        <v>153</v>
      </c>
      <c r="B82" t="s">
        <v>181</v>
      </c>
      <c r="C82" t="s">
        <v>193</v>
      </c>
      <c r="D82" t="s">
        <v>89</v>
      </c>
      <c r="E82" t="s">
        <v>9</v>
      </c>
      <c r="F82" t="s">
        <v>7</v>
      </c>
      <c r="G82">
        <v>130549</v>
      </c>
      <c r="H82">
        <v>28</v>
      </c>
      <c r="I82" t="s">
        <v>180</v>
      </c>
      <c r="J82" s="9">
        <v>42244</v>
      </c>
      <c r="K82" s="1">
        <v>4662.4642860000004</v>
      </c>
      <c r="L82" s="1" t="s">
        <v>165</v>
      </c>
    </row>
    <row r="83" spans="1:12" x14ac:dyDescent="0.25">
      <c r="A83" t="s">
        <v>153</v>
      </c>
      <c r="B83" t="s">
        <v>181</v>
      </c>
      <c r="C83" t="s">
        <v>140</v>
      </c>
      <c r="D83" t="s">
        <v>87</v>
      </c>
      <c r="E83" t="s">
        <v>9</v>
      </c>
      <c r="F83" t="s">
        <v>6</v>
      </c>
      <c r="G83">
        <v>124082</v>
      </c>
      <c r="H83">
        <v>28</v>
      </c>
      <c r="I83" t="s">
        <v>82</v>
      </c>
      <c r="J83" s="9">
        <v>42244</v>
      </c>
      <c r="K83" s="1">
        <v>4431.5</v>
      </c>
      <c r="L83" s="1" t="s">
        <v>165</v>
      </c>
    </row>
    <row r="84" spans="1:12" x14ac:dyDescent="0.25">
      <c r="A84" t="s">
        <v>153</v>
      </c>
      <c r="B84" t="s">
        <v>181</v>
      </c>
      <c r="C84" t="s">
        <v>39</v>
      </c>
      <c r="D84" t="s">
        <v>162</v>
      </c>
      <c r="E84" t="s">
        <v>5</v>
      </c>
      <c r="F84" t="s">
        <v>7</v>
      </c>
      <c r="G84">
        <v>237385</v>
      </c>
      <c r="H84">
        <v>26</v>
      </c>
      <c r="I84" t="s">
        <v>81</v>
      </c>
      <c r="J84" s="9">
        <v>42247</v>
      </c>
      <c r="K84" s="1">
        <v>9130.1923079999997</v>
      </c>
      <c r="L84" s="1" t="s">
        <v>166</v>
      </c>
    </row>
    <row r="85" spans="1:12" x14ac:dyDescent="0.25">
      <c r="A85" t="s">
        <v>153</v>
      </c>
      <c r="B85" t="s">
        <v>181</v>
      </c>
      <c r="C85" t="s">
        <v>145</v>
      </c>
      <c r="D85" t="s">
        <v>86</v>
      </c>
      <c r="E85" t="s">
        <v>9</v>
      </c>
      <c r="F85" t="s">
        <v>7</v>
      </c>
      <c r="G85">
        <v>245254</v>
      </c>
      <c r="H85">
        <v>19</v>
      </c>
      <c r="I85" t="s">
        <v>180</v>
      </c>
      <c r="J85" s="9">
        <v>42240</v>
      </c>
      <c r="K85" s="1">
        <v>12908.10526</v>
      </c>
      <c r="L85" s="1" t="s">
        <v>166</v>
      </c>
    </row>
    <row r="86" spans="1:12" x14ac:dyDescent="0.25">
      <c r="A86" t="s">
        <v>153</v>
      </c>
      <c r="B86" t="s">
        <v>181</v>
      </c>
      <c r="C86" t="s">
        <v>14</v>
      </c>
      <c r="D86" t="s">
        <v>89</v>
      </c>
      <c r="E86" t="s">
        <v>9</v>
      </c>
      <c r="F86" t="s">
        <v>6</v>
      </c>
      <c r="G86">
        <v>231817</v>
      </c>
      <c r="H86">
        <v>41</v>
      </c>
      <c r="I86" t="s">
        <v>180</v>
      </c>
      <c r="J86" s="9">
        <v>42235</v>
      </c>
      <c r="K86" s="1">
        <v>5654.073171</v>
      </c>
      <c r="L86" s="1" t="s">
        <v>166</v>
      </c>
    </row>
    <row r="87" spans="1:12" x14ac:dyDescent="0.25">
      <c r="A87" t="s">
        <v>153</v>
      </c>
      <c r="B87" t="s">
        <v>181</v>
      </c>
      <c r="C87" t="s">
        <v>4</v>
      </c>
      <c r="D87" t="s">
        <v>163</v>
      </c>
      <c r="E87" t="s">
        <v>5</v>
      </c>
      <c r="F87" t="s">
        <v>6</v>
      </c>
      <c r="G87">
        <v>114877</v>
      </c>
      <c r="H87">
        <v>23</v>
      </c>
      <c r="I87" t="s">
        <v>180</v>
      </c>
      <c r="J87" s="9">
        <v>42230</v>
      </c>
      <c r="K87" s="1">
        <v>4994.6521739999998</v>
      </c>
      <c r="L87" s="1" t="s">
        <v>165</v>
      </c>
    </row>
    <row r="88" spans="1:12" x14ac:dyDescent="0.25">
      <c r="A88" t="s">
        <v>154</v>
      </c>
      <c r="B88" t="s">
        <v>181</v>
      </c>
      <c r="C88" t="s">
        <v>138</v>
      </c>
      <c r="D88" t="s">
        <v>163</v>
      </c>
      <c r="E88" t="s">
        <v>5</v>
      </c>
      <c r="F88" t="s">
        <v>6</v>
      </c>
      <c r="G88">
        <v>167095</v>
      </c>
      <c r="H88">
        <v>42</v>
      </c>
      <c r="I88" t="s">
        <v>79</v>
      </c>
      <c r="J88" s="9">
        <v>42247</v>
      </c>
      <c r="K88" s="1">
        <v>3978.4523810000001</v>
      </c>
      <c r="L88" s="1" t="s">
        <v>165</v>
      </c>
    </row>
    <row r="89" spans="1:12" x14ac:dyDescent="0.25">
      <c r="A89" t="s">
        <v>154</v>
      </c>
      <c r="B89" t="s">
        <v>181</v>
      </c>
      <c r="C89" t="s">
        <v>137</v>
      </c>
      <c r="D89" t="s">
        <v>88</v>
      </c>
      <c r="E89" t="s">
        <v>9</v>
      </c>
      <c r="F89" t="s">
        <v>6</v>
      </c>
      <c r="G89">
        <v>111841</v>
      </c>
      <c r="H89">
        <v>25</v>
      </c>
      <c r="I89" t="s">
        <v>81</v>
      </c>
      <c r="J89" s="9">
        <v>42235</v>
      </c>
      <c r="K89" s="1">
        <v>4473.6400000000003</v>
      </c>
      <c r="L89" s="1" t="s">
        <v>165</v>
      </c>
    </row>
    <row r="90" spans="1:12" x14ac:dyDescent="0.25">
      <c r="A90" t="s">
        <v>154</v>
      </c>
      <c r="B90" t="s">
        <v>181</v>
      </c>
      <c r="C90" t="s">
        <v>130</v>
      </c>
      <c r="D90" t="s">
        <v>162</v>
      </c>
      <c r="E90" t="s">
        <v>5</v>
      </c>
      <c r="F90" t="s">
        <v>7</v>
      </c>
      <c r="G90">
        <v>103662</v>
      </c>
      <c r="H90">
        <v>18</v>
      </c>
      <c r="I90" t="s">
        <v>79</v>
      </c>
      <c r="J90" s="9">
        <v>42247</v>
      </c>
      <c r="K90" s="1">
        <v>5759</v>
      </c>
      <c r="L90" s="1" t="s">
        <v>165</v>
      </c>
    </row>
    <row r="91" spans="1:12" x14ac:dyDescent="0.25">
      <c r="A91" t="s">
        <v>154</v>
      </c>
      <c r="B91" t="s">
        <v>181</v>
      </c>
      <c r="C91" t="s">
        <v>130</v>
      </c>
      <c r="D91" t="s">
        <v>86</v>
      </c>
      <c r="E91" t="s">
        <v>5</v>
      </c>
      <c r="F91" t="s">
        <v>7</v>
      </c>
      <c r="G91">
        <v>202094</v>
      </c>
      <c r="H91">
        <v>38</v>
      </c>
      <c r="I91" t="s">
        <v>79</v>
      </c>
      <c r="J91" s="9">
        <v>42242</v>
      </c>
      <c r="K91" s="1">
        <v>5318.2631579999997</v>
      </c>
      <c r="L91" s="1" t="s">
        <v>166</v>
      </c>
    </row>
    <row r="92" spans="1:12" x14ac:dyDescent="0.25">
      <c r="A92" t="s">
        <v>154</v>
      </c>
      <c r="B92" t="s">
        <v>181</v>
      </c>
      <c r="C92" t="s">
        <v>14</v>
      </c>
      <c r="D92" t="s">
        <v>89</v>
      </c>
      <c r="E92" t="s">
        <v>9</v>
      </c>
      <c r="F92" t="s">
        <v>6</v>
      </c>
      <c r="G92">
        <v>107557</v>
      </c>
      <c r="H92">
        <v>26</v>
      </c>
      <c r="I92" t="s">
        <v>180</v>
      </c>
      <c r="J92" s="9">
        <v>42235</v>
      </c>
      <c r="K92" s="1">
        <v>4136.8076920000003</v>
      </c>
      <c r="L92" s="1" t="s">
        <v>165</v>
      </c>
    </row>
    <row r="93" spans="1:12" x14ac:dyDescent="0.25">
      <c r="A93" t="s">
        <v>154</v>
      </c>
      <c r="B93" t="s">
        <v>181</v>
      </c>
      <c r="C93" t="s">
        <v>50</v>
      </c>
      <c r="D93" t="s">
        <v>87</v>
      </c>
      <c r="E93" t="s">
        <v>9</v>
      </c>
      <c r="F93" t="s">
        <v>6</v>
      </c>
      <c r="G93">
        <v>139514</v>
      </c>
      <c r="H93">
        <v>28</v>
      </c>
      <c r="I93" t="s">
        <v>93</v>
      </c>
      <c r="J93" s="9">
        <v>42244</v>
      </c>
      <c r="K93" s="1">
        <v>4982.6428569999998</v>
      </c>
      <c r="L93" s="1" t="s">
        <v>165</v>
      </c>
    </row>
    <row r="94" spans="1:12" x14ac:dyDescent="0.25">
      <c r="A94" t="s">
        <v>154</v>
      </c>
      <c r="B94" t="s">
        <v>181</v>
      </c>
      <c r="C94" t="s">
        <v>57</v>
      </c>
      <c r="D94" t="s">
        <v>91</v>
      </c>
      <c r="E94" t="s">
        <v>9</v>
      </c>
      <c r="F94" t="s">
        <v>6</v>
      </c>
      <c r="G94">
        <v>123929</v>
      </c>
      <c r="H94">
        <v>37</v>
      </c>
      <c r="I94" t="s">
        <v>93</v>
      </c>
      <c r="J94" s="9">
        <v>42247</v>
      </c>
      <c r="K94" s="1">
        <v>3349.4324320000001</v>
      </c>
      <c r="L94" s="1" t="s">
        <v>165</v>
      </c>
    </row>
    <row r="95" spans="1:12" x14ac:dyDescent="0.25">
      <c r="A95" t="s">
        <v>154</v>
      </c>
      <c r="B95" t="s">
        <v>181</v>
      </c>
      <c r="C95" t="s">
        <v>188</v>
      </c>
      <c r="D95" t="s">
        <v>163</v>
      </c>
      <c r="E95" t="s">
        <v>5</v>
      </c>
      <c r="F95" t="s">
        <v>6</v>
      </c>
      <c r="G95">
        <v>142783</v>
      </c>
      <c r="H95">
        <v>23</v>
      </c>
      <c r="I95" t="s">
        <v>93</v>
      </c>
      <c r="J95" s="9">
        <v>42237</v>
      </c>
      <c r="K95" s="1">
        <v>6207.9565220000004</v>
      </c>
      <c r="L95" s="1" t="s">
        <v>165</v>
      </c>
    </row>
    <row r="96" spans="1:12" x14ac:dyDescent="0.25">
      <c r="A96" t="s">
        <v>154</v>
      </c>
      <c r="B96" t="s">
        <v>181</v>
      </c>
      <c r="C96" t="s">
        <v>4</v>
      </c>
      <c r="D96" t="s">
        <v>86</v>
      </c>
      <c r="E96" t="s">
        <v>5</v>
      </c>
      <c r="F96" t="s">
        <v>6</v>
      </c>
      <c r="G96">
        <v>169909</v>
      </c>
      <c r="H96">
        <v>16</v>
      </c>
      <c r="I96" t="s">
        <v>79</v>
      </c>
      <c r="J96" s="9">
        <v>42230</v>
      </c>
      <c r="K96" s="1">
        <v>10619.3125</v>
      </c>
      <c r="L96" s="1" t="s">
        <v>165</v>
      </c>
    </row>
    <row r="97" spans="1:12" x14ac:dyDescent="0.25">
      <c r="A97" t="s">
        <v>155</v>
      </c>
      <c r="B97" t="s">
        <v>181</v>
      </c>
      <c r="C97" t="s">
        <v>135</v>
      </c>
      <c r="D97" t="s">
        <v>161</v>
      </c>
      <c r="E97" t="s">
        <v>9</v>
      </c>
      <c r="F97" t="s">
        <v>6</v>
      </c>
      <c r="G97">
        <v>83240</v>
      </c>
      <c r="H97">
        <v>15</v>
      </c>
      <c r="I97" t="s">
        <v>180</v>
      </c>
      <c r="J97" s="9">
        <v>42339</v>
      </c>
      <c r="K97" s="1">
        <v>5549.3333329999996</v>
      </c>
      <c r="L97" s="1" t="s">
        <v>167</v>
      </c>
    </row>
    <row r="98" spans="1:12" x14ac:dyDescent="0.25">
      <c r="A98" t="s">
        <v>155</v>
      </c>
      <c r="B98" t="s">
        <v>181</v>
      </c>
      <c r="C98" t="s">
        <v>119</v>
      </c>
      <c r="D98" t="s">
        <v>162</v>
      </c>
      <c r="E98" t="s">
        <v>5</v>
      </c>
      <c r="F98" t="s">
        <v>6</v>
      </c>
      <c r="G98">
        <v>129703</v>
      </c>
      <c r="H98">
        <v>24</v>
      </c>
      <c r="I98" t="s">
        <v>82</v>
      </c>
      <c r="J98" s="9">
        <v>42369</v>
      </c>
      <c r="K98" s="1">
        <v>5404.2916670000004</v>
      </c>
      <c r="L98" s="1" t="s">
        <v>165</v>
      </c>
    </row>
    <row r="99" spans="1:12" x14ac:dyDescent="0.25">
      <c r="A99" t="s">
        <v>156</v>
      </c>
      <c r="B99" t="s">
        <v>181</v>
      </c>
      <c r="C99" t="s">
        <v>182</v>
      </c>
      <c r="D99" t="s">
        <v>89</v>
      </c>
      <c r="E99" t="s">
        <v>9</v>
      </c>
      <c r="F99" t="s">
        <v>6</v>
      </c>
      <c r="G99">
        <v>168289</v>
      </c>
      <c r="H99">
        <v>28</v>
      </c>
      <c r="I99" t="s">
        <v>79</v>
      </c>
      <c r="J99" s="9">
        <v>42339</v>
      </c>
      <c r="K99" s="1">
        <v>6010.3214289999996</v>
      </c>
      <c r="L99" s="1" t="s">
        <v>165</v>
      </c>
    </row>
    <row r="100" spans="1:12" x14ac:dyDescent="0.25">
      <c r="A100" t="s">
        <v>156</v>
      </c>
      <c r="B100" t="s">
        <v>181</v>
      </c>
      <c r="C100" t="s">
        <v>39</v>
      </c>
      <c r="D100" t="s">
        <v>162</v>
      </c>
      <c r="E100" t="s">
        <v>5</v>
      </c>
      <c r="F100" t="s">
        <v>6</v>
      </c>
      <c r="G100">
        <v>80286</v>
      </c>
      <c r="H100">
        <v>29</v>
      </c>
      <c r="I100" t="s">
        <v>93</v>
      </c>
      <c r="J100" s="9">
        <v>42369</v>
      </c>
      <c r="K100" s="1">
        <v>2768.482759</v>
      </c>
      <c r="L100" s="1" t="s">
        <v>167</v>
      </c>
    </row>
    <row r="101" spans="1:12" x14ac:dyDescent="0.25">
      <c r="A101" t="s">
        <v>156</v>
      </c>
      <c r="B101" t="s">
        <v>181</v>
      </c>
      <c r="C101" t="s">
        <v>149</v>
      </c>
      <c r="D101" t="s">
        <v>91</v>
      </c>
      <c r="E101" t="s">
        <v>9</v>
      </c>
      <c r="F101" t="s">
        <v>6</v>
      </c>
      <c r="G101">
        <v>172701</v>
      </c>
      <c r="H101">
        <v>21</v>
      </c>
      <c r="I101" t="s">
        <v>180</v>
      </c>
      <c r="J101" s="9">
        <v>42353</v>
      </c>
      <c r="K101" s="1">
        <v>8223.8571429999993</v>
      </c>
      <c r="L101" s="1" t="s">
        <v>165</v>
      </c>
    </row>
    <row r="102" spans="1:12" x14ac:dyDescent="0.25">
      <c r="A102" t="s">
        <v>150</v>
      </c>
      <c r="B102" t="s">
        <v>181</v>
      </c>
      <c r="C102" t="s">
        <v>192</v>
      </c>
      <c r="D102" t="s">
        <v>162</v>
      </c>
      <c r="E102" t="s">
        <v>5</v>
      </c>
      <c r="F102" t="s">
        <v>6</v>
      </c>
      <c r="G102">
        <v>190132</v>
      </c>
      <c r="H102">
        <v>28</v>
      </c>
      <c r="I102" t="s">
        <v>81</v>
      </c>
      <c r="J102" s="9">
        <v>42353</v>
      </c>
      <c r="K102" s="1">
        <v>6790.4285710000004</v>
      </c>
      <c r="L102" s="1" t="s">
        <v>165</v>
      </c>
    </row>
    <row r="103" spans="1:12" x14ac:dyDescent="0.25">
      <c r="A103" t="s">
        <v>150</v>
      </c>
      <c r="B103" t="s">
        <v>181</v>
      </c>
      <c r="C103" t="s">
        <v>182</v>
      </c>
      <c r="D103" t="s">
        <v>89</v>
      </c>
      <c r="E103" t="s">
        <v>9</v>
      </c>
      <c r="F103" t="s">
        <v>6</v>
      </c>
      <c r="G103">
        <v>241320</v>
      </c>
      <c r="H103">
        <v>33</v>
      </c>
      <c r="I103" t="s">
        <v>81</v>
      </c>
      <c r="J103" s="9">
        <v>42339</v>
      </c>
      <c r="K103" s="1">
        <v>7312.7272730000004</v>
      </c>
      <c r="L103" s="1" t="s">
        <v>166</v>
      </c>
    </row>
    <row r="104" spans="1:12" x14ac:dyDescent="0.25">
      <c r="A104" t="s">
        <v>150</v>
      </c>
      <c r="B104" t="s">
        <v>181</v>
      </c>
      <c r="C104" t="s">
        <v>182</v>
      </c>
      <c r="D104" t="s">
        <v>89</v>
      </c>
      <c r="E104" t="s">
        <v>9</v>
      </c>
      <c r="F104" t="s">
        <v>6</v>
      </c>
      <c r="G104">
        <v>135809</v>
      </c>
      <c r="H104">
        <v>18</v>
      </c>
      <c r="I104" t="s">
        <v>79</v>
      </c>
      <c r="J104" s="9">
        <v>42339</v>
      </c>
      <c r="K104" s="1">
        <v>7544.9444439999997</v>
      </c>
      <c r="L104" s="1" t="s">
        <v>165</v>
      </c>
    </row>
    <row r="105" spans="1:12" x14ac:dyDescent="0.25">
      <c r="A105" t="s">
        <v>150</v>
      </c>
      <c r="B105" t="s">
        <v>181</v>
      </c>
      <c r="C105" t="s">
        <v>182</v>
      </c>
      <c r="D105" t="s">
        <v>89</v>
      </c>
      <c r="E105" t="s">
        <v>9</v>
      </c>
      <c r="F105" t="s">
        <v>6</v>
      </c>
      <c r="G105">
        <v>172082</v>
      </c>
      <c r="H105">
        <v>30</v>
      </c>
      <c r="I105" t="s">
        <v>81</v>
      </c>
      <c r="J105" s="9">
        <v>42339</v>
      </c>
      <c r="K105" s="1">
        <v>5736.0666670000001</v>
      </c>
      <c r="L105" s="1" t="s">
        <v>165</v>
      </c>
    </row>
    <row r="106" spans="1:12" x14ac:dyDescent="0.25">
      <c r="A106" t="s">
        <v>150</v>
      </c>
      <c r="B106" t="s">
        <v>181</v>
      </c>
      <c r="C106" t="s">
        <v>182</v>
      </c>
      <c r="D106" t="s">
        <v>89</v>
      </c>
      <c r="E106" t="s">
        <v>9</v>
      </c>
      <c r="F106" t="s">
        <v>6</v>
      </c>
      <c r="G106">
        <v>151283</v>
      </c>
      <c r="H106">
        <v>29</v>
      </c>
      <c r="I106" t="s">
        <v>79</v>
      </c>
      <c r="J106" s="9">
        <v>42339</v>
      </c>
      <c r="K106" s="1">
        <v>5216.6551719999998</v>
      </c>
      <c r="L106" s="1" t="s">
        <v>165</v>
      </c>
    </row>
    <row r="107" spans="1:12" x14ac:dyDescent="0.25">
      <c r="A107" t="s">
        <v>150</v>
      </c>
      <c r="B107" t="s">
        <v>181</v>
      </c>
      <c r="C107" t="s">
        <v>182</v>
      </c>
      <c r="D107" t="s">
        <v>161</v>
      </c>
      <c r="E107" t="s">
        <v>9</v>
      </c>
      <c r="F107" t="s">
        <v>6</v>
      </c>
      <c r="G107">
        <v>219157</v>
      </c>
      <c r="H107">
        <v>15</v>
      </c>
      <c r="I107" t="s">
        <v>79</v>
      </c>
      <c r="J107" s="9">
        <v>42339</v>
      </c>
      <c r="K107" s="1">
        <v>14610.46667</v>
      </c>
      <c r="L107" s="1" t="s">
        <v>166</v>
      </c>
    </row>
    <row r="108" spans="1:12" x14ac:dyDescent="0.25">
      <c r="A108" t="s">
        <v>157</v>
      </c>
      <c r="B108" t="s">
        <v>181</v>
      </c>
      <c r="C108" t="s">
        <v>15</v>
      </c>
      <c r="D108" t="s">
        <v>162</v>
      </c>
      <c r="E108" t="s">
        <v>5</v>
      </c>
      <c r="F108" t="s">
        <v>7</v>
      </c>
      <c r="G108">
        <v>62548</v>
      </c>
      <c r="H108">
        <v>24</v>
      </c>
      <c r="I108" t="s">
        <v>79</v>
      </c>
      <c r="J108" s="9">
        <v>42363</v>
      </c>
      <c r="K108" s="1">
        <v>2606.166667</v>
      </c>
      <c r="L108" s="1" t="s">
        <v>167</v>
      </c>
    </row>
    <row r="109" spans="1:12" x14ac:dyDescent="0.25">
      <c r="A109" t="s">
        <v>157</v>
      </c>
      <c r="B109" t="s">
        <v>181</v>
      </c>
      <c r="C109" t="s">
        <v>135</v>
      </c>
      <c r="D109" t="s">
        <v>161</v>
      </c>
      <c r="E109" t="s">
        <v>9</v>
      </c>
      <c r="F109" t="s">
        <v>6</v>
      </c>
      <c r="G109">
        <v>134349</v>
      </c>
      <c r="H109">
        <v>21</v>
      </c>
      <c r="I109" t="s">
        <v>180</v>
      </c>
      <c r="J109" s="9">
        <v>42339</v>
      </c>
      <c r="K109" s="1">
        <v>6397.5714289999996</v>
      </c>
      <c r="L109" s="1" t="s">
        <v>165</v>
      </c>
    </row>
    <row r="110" spans="1:12" x14ac:dyDescent="0.25">
      <c r="A110" t="s">
        <v>157</v>
      </c>
      <c r="B110" t="s">
        <v>181</v>
      </c>
      <c r="C110" t="s">
        <v>135</v>
      </c>
      <c r="D110" t="s">
        <v>161</v>
      </c>
      <c r="E110" t="s">
        <v>9</v>
      </c>
      <c r="F110" t="s">
        <v>6</v>
      </c>
      <c r="G110">
        <v>110899</v>
      </c>
      <c r="H110">
        <v>25</v>
      </c>
      <c r="I110" t="s">
        <v>180</v>
      </c>
      <c r="J110" s="9">
        <v>42339</v>
      </c>
      <c r="K110" s="1">
        <v>4435.96</v>
      </c>
      <c r="L110" s="1" t="s">
        <v>165</v>
      </c>
    </row>
    <row r="111" spans="1:12" x14ac:dyDescent="0.25">
      <c r="A111" t="s">
        <v>157</v>
      </c>
      <c r="B111" t="s">
        <v>181</v>
      </c>
      <c r="C111" t="s">
        <v>41</v>
      </c>
      <c r="D111" t="s">
        <v>161</v>
      </c>
      <c r="E111" t="s">
        <v>9</v>
      </c>
      <c r="F111" t="s">
        <v>6</v>
      </c>
      <c r="G111">
        <v>226877</v>
      </c>
      <c r="H111">
        <v>23</v>
      </c>
      <c r="I111" t="s">
        <v>93</v>
      </c>
      <c r="J111" s="9">
        <v>42353</v>
      </c>
      <c r="K111" s="1">
        <v>9864.2173910000001</v>
      </c>
      <c r="L111" s="1" t="s">
        <v>166</v>
      </c>
    </row>
    <row r="112" spans="1:12" x14ac:dyDescent="0.25">
      <c r="A112" t="s">
        <v>157</v>
      </c>
      <c r="B112" t="s">
        <v>181</v>
      </c>
      <c r="C112" t="s">
        <v>182</v>
      </c>
      <c r="D112" t="s">
        <v>89</v>
      </c>
      <c r="E112" t="s">
        <v>9</v>
      </c>
      <c r="F112" t="s">
        <v>6</v>
      </c>
      <c r="G112">
        <v>210657</v>
      </c>
      <c r="H112">
        <v>36</v>
      </c>
      <c r="I112" t="s">
        <v>79</v>
      </c>
      <c r="J112" s="9">
        <v>42339</v>
      </c>
      <c r="K112" s="1">
        <v>5851.5833329999996</v>
      </c>
      <c r="L112" s="1" t="s">
        <v>166</v>
      </c>
    </row>
    <row r="113" spans="1:12" x14ac:dyDescent="0.25">
      <c r="A113" t="s">
        <v>157</v>
      </c>
      <c r="B113" t="s">
        <v>181</v>
      </c>
      <c r="C113" t="s">
        <v>138</v>
      </c>
      <c r="D113" t="s">
        <v>162</v>
      </c>
      <c r="E113" t="s">
        <v>5</v>
      </c>
      <c r="F113" t="s">
        <v>6</v>
      </c>
      <c r="G113">
        <v>60791</v>
      </c>
      <c r="H113">
        <v>15</v>
      </c>
      <c r="I113" t="s">
        <v>82</v>
      </c>
      <c r="J113" s="9">
        <v>42369</v>
      </c>
      <c r="K113" s="1">
        <v>4052.7333330000001</v>
      </c>
      <c r="L113" s="1" t="s">
        <v>167</v>
      </c>
    </row>
    <row r="114" spans="1:12" x14ac:dyDescent="0.25">
      <c r="A114" t="s">
        <v>157</v>
      </c>
      <c r="B114" t="s">
        <v>181</v>
      </c>
      <c r="C114" t="s">
        <v>182</v>
      </c>
      <c r="D114" t="s">
        <v>89</v>
      </c>
      <c r="E114" t="s">
        <v>9</v>
      </c>
      <c r="F114" t="s">
        <v>6</v>
      </c>
      <c r="G114">
        <v>175961</v>
      </c>
      <c r="H114">
        <v>19</v>
      </c>
      <c r="I114" t="s">
        <v>79</v>
      </c>
      <c r="J114" s="9">
        <v>42339</v>
      </c>
      <c r="K114" s="1">
        <v>9261.1052629999995</v>
      </c>
      <c r="L114" s="1" t="s">
        <v>165</v>
      </c>
    </row>
    <row r="115" spans="1:12" x14ac:dyDescent="0.25">
      <c r="A115" t="s">
        <v>157</v>
      </c>
      <c r="B115" t="s">
        <v>181</v>
      </c>
      <c r="C115" t="s">
        <v>15</v>
      </c>
      <c r="D115" t="s">
        <v>162</v>
      </c>
      <c r="E115" t="s">
        <v>5</v>
      </c>
      <c r="F115" t="s">
        <v>7</v>
      </c>
      <c r="G115">
        <v>126313</v>
      </c>
      <c r="H115">
        <v>36</v>
      </c>
      <c r="I115" t="s">
        <v>82</v>
      </c>
      <c r="J115" s="9">
        <v>42363</v>
      </c>
      <c r="K115" s="1">
        <v>3508.6944440000002</v>
      </c>
      <c r="L115" s="1" t="s">
        <v>165</v>
      </c>
    </row>
    <row r="116" spans="1:12" x14ac:dyDescent="0.25">
      <c r="A116" t="s">
        <v>157</v>
      </c>
      <c r="B116" t="s">
        <v>181</v>
      </c>
      <c r="C116" t="s">
        <v>182</v>
      </c>
      <c r="D116" t="s">
        <v>89</v>
      </c>
      <c r="E116" t="s">
        <v>9</v>
      </c>
      <c r="F116" t="s">
        <v>6</v>
      </c>
      <c r="G116">
        <v>128603</v>
      </c>
      <c r="H116">
        <v>30</v>
      </c>
      <c r="I116" t="s">
        <v>81</v>
      </c>
      <c r="J116" s="9">
        <v>42339</v>
      </c>
      <c r="K116" s="1">
        <v>4286.7666669999999</v>
      </c>
      <c r="L116" s="1" t="s">
        <v>165</v>
      </c>
    </row>
    <row r="117" spans="1:12" x14ac:dyDescent="0.25">
      <c r="A117" t="s">
        <v>157</v>
      </c>
      <c r="B117" t="s">
        <v>181</v>
      </c>
      <c r="C117" t="s">
        <v>188</v>
      </c>
      <c r="D117" t="s">
        <v>162</v>
      </c>
      <c r="E117" t="s">
        <v>5</v>
      </c>
      <c r="F117" t="s">
        <v>6</v>
      </c>
      <c r="G117">
        <v>179961</v>
      </c>
      <c r="H117">
        <v>15</v>
      </c>
      <c r="I117" t="s">
        <v>82</v>
      </c>
      <c r="J117" s="9">
        <v>42368</v>
      </c>
      <c r="K117" s="1">
        <v>11997.4</v>
      </c>
      <c r="L117" s="1" t="s">
        <v>165</v>
      </c>
    </row>
    <row r="118" spans="1:12" x14ac:dyDescent="0.25">
      <c r="A118" t="s">
        <v>157</v>
      </c>
      <c r="B118" t="s">
        <v>181</v>
      </c>
      <c r="C118" t="s">
        <v>193</v>
      </c>
      <c r="D118" t="s">
        <v>161</v>
      </c>
      <c r="E118" t="s">
        <v>9</v>
      </c>
      <c r="F118" t="s">
        <v>7</v>
      </c>
      <c r="G118">
        <v>191978</v>
      </c>
      <c r="H118">
        <v>41</v>
      </c>
      <c r="I118" t="s">
        <v>82</v>
      </c>
      <c r="J118" s="9">
        <v>42369</v>
      </c>
      <c r="K118" s="1">
        <v>4682.3902440000002</v>
      </c>
      <c r="L118" s="1" t="s">
        <v>165</v>
      </c>
    </row>
    <row r="119" spans="1:12" x14ac:dyDescent="0.25">
      <c r="A119" t="s">
        <v>157</v>
      </c>
      <c r="B119" t="s">
        <v>181</v>
      </c>
      <c r="C119" t="s">
        <v>129</v>
      </c>
      <c r="D119" t="s">
        <v>91</v>
      </c>
      <c r="E119" t="s">
        <v>9</v>
      </c>
      <c r="F119" t="s">
        <v>6</v>
      </c>
      <c r="G119">
        <v>205687</v>
      </c>
      <c r="H119">
        <v>41</v>
      </c>
      <c r="I119" t="s">
        <v>82</v>
      </c>
      <c r="J119" s="9">
        <v>42367</v>
      </c>
      <c r="K119" s="1">
        <v>5016.7560979999998</v>
      </c>
      <c r="L119" s="1" t="s">
        <v>166</v>
      </c>
    </row>
    <row r="120" spans="1:12" x14ac:dyDescent="0.25">
      <c r="A120" t="s">
        <v>157</v>
      </c>
      <c r="B120" t="s">
        <v>181</v>
      </c>
      <c r="C120" t="s">
        <v>71</v>
      </c>
      <c r="D120" t="s">
        <v>88</v>
      </c>
      <c r="E120" t="s">
        <v>9</v>
      </c>
      <c r="F120" t="s">
        <v>6</v>
      </c>
      <c r="G120">
        <v>205729</v>
      </c>
      <c r="H120">
        <v>28</v>
      </c>
      <c r="I120" t="s">
        <v>82</v>
      </c>
      <c r="J120" s="9">
        <v>42361</v>
      </c>
      <c r="K120" s="1">
        <v>7347.4642860000004</v>
      </c>
      <c r="L120" s="1" t="s">
        <v>166</v>
      </c>
    </row>
    <row r="121" spans="1:12" x14ac:dyDescent="0.25">
      <c r="A121" t="s">
        <v>157</v>
      </c>
      <c r="B121" t="s">
        <v>181</v>
      </c>
      <c r="C121" t="s">
        <v>121</v>
      </c>
      <c r="D121" t="s">
        <v>162</v>
      </c>
      <c r="E121" t="s">
        <v>5</v>
      </c>
      <c r="F121" t="s">
        <v>6</v>
      </c>
      <c r="G121">
        <v>245880</v>
      </c>
      <c r="H121">
        <v>30</v>
      </c>
      <c r="I121" t="s">
        <v>180</v>
      </c>
      <c r="J121" s="9">
        <v>42368</v>
      </c>
      <c r="K121" s="1">
        <v>8196</v>
      </c>
      <c r="L121" s="1" t="s">
        <v>166</v>
      </c>
    </row>
    <row r="122" spans="1:12" x14ac:dyDescent="0.25">
      <c r="A122" t="s">
        <v>157</v>
      </c>
      <c r="B122" t="s">
        <v>181</v>
      </c>
      <c r="C122" t="s">
        <v>135</v>
      </c>
      <c r="D122" t="s">
        <v>161</v>
      </c>
      <c r="E122" t="s">
        <v>9</v>
      </c>
      <c r="F122" t="s">
        <v>6</v>
      </c>
      <c r="G122">
        <v>127962</v>
      </c>
      <c r="H122">
        <v>23</v>
      </c>
      <c r="I122" t="s">
        <v>180</v>
      </c>
      <c r="J122" s="9">
        <v>42339</v>
      </c>
      <c r="K122" s="1">
        <v>5563.5652170000003</v>
      </c>
      <c r="L122" s="1" t="s">
        <v>165</v>
      </c>
    </row>
    <row r="123" spans="1:12" x14ac:dyDescent="0.25">
      <c r="A123" t="s">
        <v>157</v>
      </c>
      <c r="B123" t="s">
        <v>181</v>
      </c>
      <c r="C123" t="s">
        <v>121</v>
      </c>
      <c r="D123" t="s">
        <v>162</v>
      </c>
      <c r="E123" t="s">
        <v>5</v>
      </c>
      <c r="F123" t="s">
        <v>6</v>
      </c>
      <c r="G123">
        <v>167037</v>
      </c>
      <c r="H123">
        <v>20</v>
      </c>
      <c r="I123" t="s">
        <v>180</v>
      </c>
      <c r="J123" s="9">
        <v>42368</v>
      </c>
      <c r="K123" s="1">
        <v>8351.85</v>
      </c>
      <c r="L123" s="1" t="s">
        <v>165</v>
      </c>
    </row>
    <row r="124" spans="1:12" x14ac:dyDescent="0.25">
      <c r="A124" t="s">
        <v>157</v>
      </c>
      <c r="B124" t="s">
        <v>181</v>
      </c>
      <c r="C124" t="s">
        <v>136</v>
      </c>
      <c r="D124" t="s">
        <v>87</v>
      </c>
      <c r="E124" t="s">
        <v>9</v>
      </c>
      <c r="F124" t="s">
        <v>7</v>
      </c>
      <c r="G124">
        <v>184766</v>
      </c>
      <c r="H124">
        <v>31</v>
      </c>
      <c r="I124" t="s">
        <v>81</v>
      </c>
      <c r="J124" s="9">
        <v>42369</v>
      </c>
      <c r="K124" s="1">
        <v>5960.1935480000002</v>
      </c>
      <c r="L124" s="1" t="s">
        <v>165</v>
      </c>
    </row>
    <row r="125" spans="1:12" x14ac:dyDescent="0.25">
      <c r="A125" t="s">
        <v>157</v>
      </c>
      <c r="B125" t="s">
        <v>181</v>
      </c>
      <c r="C125" t="s">
        <v>136</v>
      </c>
      <c r="D125" t="s">
        <v>87</v>
      </c>
      <c r="E125" t="s">
        <v>9</v>
      </c>
      <c r="F125" t="s">
        <v>7</v>
      </c>
      <c r="G125">
        <v>162092</v>
      </c>
      <c r="H125">
        <v>37</v>
      </c>
      <c r="I125" t="s">
        <v>79</v>
      </c>
      <c r="J125" s="9">
        <v>42369</v>
      </c>
      <c r="K125" s="1">
        <v>4380.8648649999996</v>
      </c>
      <c r="L125" s="1" t="s">
        <v>165</v>
      </c>
    </row>
    <row r="126" spans="1:12" x14ac:dyDescent="0.25">
      <c r="A126" t="s">
        <v>157</v>
      </c>
      <c r="B126" t="s">
        <v>181</v>
      </c>
      <c r="C126" t="s">
        <v>182</v>
      </c>
      <c r="D126" t="s">
        <v>89</v>
      </c>
      <c r="E126" t="s">
        <v>9</v>
      </c>
      <c r="F126" t="s">
        <v>6</v>
      </c>
      <c r="G126">
        <v>234372</v>
      </c>
      <c r="H126">
        <v>28</v>
      </c>
      <c r="I126" t="s">
        <v>79</v>
      </c>
      <c r="J126" s="9">
        <v>42339</v>
      </c>
      <c r="K126" s="1">
        <v>8370.4285710000004</v>
      </c>
      <c r="L126" s="1" t="s">
        <v>166</v>
      </c>
    </row>
    <row r="127" spans="1:12" x14ac:dyDescent="0.25">
      <c r="A127" t="s">
        <v>151</v>
      </c>
      <c r="B127" t="s">
        <v>181</v>
      </c>
      <c r="C127" t="s">
        <v>149</v>
      </c>
      <c r="D127" t="s">
        <v>91</v>
      </c>
      <c r="E127" t="s">
        <v>9</v>
      </c>
      <c r="F127" t="s">
        <v>6</v>
      </c>
      <c r="G127">
        <v>67864</v>
      </c>
      <c r="H127">
        <v>41</v>
      </c>
      <c r="I127" t="s">
        <v>180</v>
      </c>
      <c r="J127" s="9">
        <v>42353</v>
      </c>
      <c r="K127" s="1">
        <v>1655.2195119999999</v>
      </c>
      <c r="L127" s="1" t="s">
        <v>167</v>
      </c>
    </row>
    <row r="128" spans="1:12" x14ac:dyDescent="0.25">
      <c r="A128" t="s">
        <v>151</v>
      </c>
      <c r="B128" t="s">
        <v>181</v>
      </c>
      <c r="C128" t="s">
        <v>182</v>
      </c>
      <c r="D128" t="s">
        <v>161</v>
      </c>
      <c r="E128" t="s">
        <v>9</v>
      </c>
      <c r="F128" t="s">
        <v>6</v>
      </c>
      <c r="G128">
        <v>152749</v>
      </c>
      <c r="H128">
        <v>25</v>
      </c>
      <c r="I128" t="s">
        <v>82</v>
      </c>
      <c r="J128" s="9">
        <v>42339</v>
      </c>
      <c r="K128" s="1">
        <v>6109.96</v>
      </c>
      <c r="L128" s="1" t="s">
        <v>165</v>
      </c>
    </row>
    <row r="129" spans="1:12" x14ac:dyDescent="0.25">
      <c r="A129" t="s">
        <v>151</v>
      </c>
      <c r="B129" t="s">
        <v>181</v>
      </c>
      <c r="C129" t="s">
        <v>135</v>
      </c>
      <c r="D129" t="s">
        <v>161</v>
      </c>
      <c r="E129" t="s">
        <v>9</v>
      </c>
      <c r="F129" t="s">
        <v>6</v>
      </c>
      <c r="G129">
        <v>127024</v>
      </c>
      <c r="H129">
        <v>39</v>
      </c>
      <c r="I129" t="s">
        <v>180</v>
      </c>
      <c r="J129" s="9">
        <v>42339</v>
      </c>
      <c r="K129" s="1">
        <v>3257.0256410000002</v>
      </c>
      <c r="L129" s="1" t="s">
        <v>165</v>
      </c>
    </row>
    <row r="130" spans="1:12" x14ac:dyDescent="0.25">
      <c r="A130" t="s">
        <v>151</v>
      </c>
      <c r="B130" t="s">
        <v>181</v>
      </c>
      <c r="C130" t="s">
        <v>135</v>
      </c>
      <c r="D130" t="s">
        <v>161</v>
      </c>
      <c r="E130" t="s">
        <v>9</v>
      </c>
      <c r="F130" t="s">
        <v>6</v>
      </c>
      <c r="G130">
        <v>122450</v>
      </c>
      <c r="H130">
        <v>31</v>
      </c>
      <c r="I130" t="s">
        <v>180</v>
      </c>
      <c r="J130" s="9">
        <v>42339</v>
      </c>
      <c r="K130" s="1">
        <v>3950</v>
      </c>
      <c r="L130" s="1" t="s">
        <v>165</v>
      </c>
    </row>
    <row r="131" spans="1:12" x14ac:dyDescent="0.25">
      <c r="A131" t="s">
        <v>151</v>
      </c>
      <c r="B131" t="s">
        <v>181</v>
      </c>
      <c r="C131" t="s">
        <v>38</v>
      </c>
      <c r="D131" t="s">
        <v>87</v>
      </c>
      <c r="E131" t="s">
        <v>9</v>
      </c>
      <c r="F131" t="s">
        <v>7</v>
      </c>
      <c r="G131">
        <v>200134</v>
      </c>
      <c r="H131">
        <v>24</v>
      </c>
      <c r="I131" t="s">
        <v>180</v>
      </c>
      <c r="J131" s="9">
        <v>42359</v>
      </c>
      <c r="K131" s="1">
        <v>8338.9166669999995</v>
      </c>
      <c r="L131" s="1" t="s">
        <v>166</v>
      </c>
    </row>
    <row r="132" spans="1:12" x14ac:dyDescent="0.25">
      <c r="A132" t="s">
        <v>151</v>
      </c>
      <c r="B132" t="s">
        <v>181</v>
      </c>
      <c r="C132" t="s">
        <v>136</v>
      </c>
      <c r="D132" t="s">
        <v>87</v>
      </c>
      <c r="E132" t="s">
        <v>9</v>
      </c>
      <c r="F132" t="s">
        <v>7</v>
      </c>
      <c r="G132">
        <v>58563</v>
      </c>
      <c r="H132">
        <v>35</v>
      </c>
      <c r="I132" t="s">
        <v>81</v>
      </c>
      <c r="J132" s="9">
        <v>42369</v>
      </c>
      <c r="K132" s="1">
        <v>1673.2285710000001</v>
      </c>
      <c r="L132" s="1" t="s">
        <v>167</v>
      </c>
    </row>
    <row r="133" spans="1:12" x14ac:dyDescent="0.25">
      <c r="A133" t="s">
        <v>151</v>
      </c>
      <c r="B133" t="s">
        <v>181</v>
      </c>
      <c r="C133" t="s">
        <v>182</v>
      </c>
      <c r="D133" t="s">
        <v>89</v>
      </c>
      <c r="E133" t="s">
        <v>9</v>
      </c>
      <c r="F133" t="s">
        <v>6</v>
      </c>
      <c r="G133">
        <v>219350</v>
      </c>
      <c r="H133">
        <v>39</v>
      </c>
      <c r="I133" t="s">
        <v>79</v>
      </c>
      <c r="J133" s="9">
        <v>42339</v>
      </c>
      <c r="K133" s="1">
        <v>5624.3589739999998</v>
      </c>
      <c r="L133" s="1" t="s">
        <v>166</v>
      </c>
    </row>
    <row r="134" spans="1:12" x14ac:dyDescent="0.25">
      <c r="A134" t="s">
        <v>151</v>
      </c>
      <c r="B134" t="s">
        <v>181</v>
      </c>
      <c r="C134" t="s">
        <v>182</v>
      </c>
      <c r="D134" t="s">
        <v>161</v>
      </c>
      <c r="E134" t="s">
        <v>9</v>
      </c>
      <c r="F134" t="s">
        <v>6</v>
      </c>
      <c r="G134">
        <v>147048</v>
      </c>
      <c r="H134">
        <v>35</v>
      </c>
      <c r="I134" t="s">
        <v>79</v>
      </c>
      <c r="J134" s="9">
        <v>42339</v>
      </c>
      <c r="K134" s="1">
        <v>4201.3714289999998</v>
      </c>
      <c r="L134" s="1" t="s">
        <v>165</v>
      </c>
    </row>
    <row r="135" spans="1:12" x14ac:dyDescent="0.25">
      <c r="A135" t="s">
        <v>151</v>
      </c>
      <c r="B135" t="s">
        <v>181</v>
      </c>
      <c r="C135" t="s">
        <v>15</v>
      </c>
      <c r="D135" t="s">
        <v>162</v>
      </c>
      <c r="E135" t="s">
        <v>5</v>
      </c>
      <c r="F135" t="s">
        <v>7</v>
      </c>
      <c r="G135">
        <v>58680</v>
      </c>
      <c r="H135">
        <v>19</v>
      </c>
      <c r="I135" t="s">
        <v>81</v>
      </c>
      <c r="J135" s="9">
        <v>42363</v>
      </c>
      <c r="K135" s="1">
        <v>3088.421053</v>
      </c>
      <c r="L135" s="1" t="s">
        <v>167</v>
      </c>
    </row>
    <row r="136" spans="1:12" x14ac:dyDescent="0.25">
      <c r="A136" t="s">
        <v>151</v>
      </c>
      <c r="B136" t="s">
        <v>181</v>
      </c>
      <c r="C136" t="s">
        <v>182</v>
      </c>
      <c r="D136" t="s">
        <v>89</v>
      </c>
      <c r="E136" t="s">
        <v>9</v>
      </c>
      <c r="F136" t="s">
        <v>6</v>
      </c>
      <c r="G136">
        <v>52997</v>
      </c>
      <c r="H136">
        <v>42</v>
      </c>
      <c r="I136" t="s">
        <v>180</v>
      </c>
      <c r="J136" s="9">
        <v>42339</v>
      </c>
      <c r="K136" s="1">
        <v>1261.833333</v>
      </c>
      <c r="L136" s="1" t="s">
        <v>167</v>
      </c>
    </row>
    <row r="137" spans="1:12" x14ac:dyDescent="0.25">
      <c r="A137" t="s">
        <v>151</v>
      </c>
      <c r="B137" t="s">
        <v>181</v>
      </c>
      <c r="C137" t="s">
        <v>182</v>
      </c>
      <c r="D137" t="s">
        <v>161</v>
      </c>
      <c r="E137" t="s">
        <v>9</v>
      </c>
      <c r="F137" t="s">
        <v>6</v>
      </c>
      <c r="G137">
        <v>137646</v>
      </c>
      <c r="H137">
        <v>24</v>
      </c>
      <c r="I137" t="s">
        <v>79</v>
      </c>
      <c r="J137" s="9">
        <v>42339</v>
      </c>
      <c r="K137" s="1">
        <v>5735.25</v>
      </c>
      <c r="L137" s="1" t="s">
        <v>165</v>
      </c>
    </row>
    <row r="138" spans="1:12" x14ac:dyDescent="0.25">
      <c r="A138" t="s">
        <v>151</v>
      </c>
      <c r="B138" t="s">
        <v>181</v>
      </c>
      <c r="C138" t="s">
        <v>25</v>
      </c>
      <c r="D138" t="s">
        <v>87</v>
      </c>
      <c r="E138" t="s">
        <v>9</v>
      </c>
      <c r="F138" t="s">
        <v>6</v>
      </c>
      <c r="G138">
        <v>119235</v>
      </c>
      <c r="H138">
        <v>18</v>
      </c>
      <c r="I138" t="s">
        <v>180</v>
      </c>
      <c r="J138" s="9">
        <v>42339</v>
      </c>
      <c r="K138" s="1">
        <v>6624.1666670000004</v>
      </c>
      <c r="L138" s="1" t="s">
        <v>165</v>
      </c>
    </row>
    <row r="139" spans="1:12" x14ac:dyDescent="0.25">
      <c r="A139" t="s">
        <v>151</v>
      </c>
      <c r="B139" t="s">
        <v>181</v>
      </c>
      <c r="C139" t="s">
        <v>129</v>
      </c>
      <c r="D139" t="s">
        <v>91</v>
      </c>
      <c r="E139" t="s">
        <v>9</v>
      </c>
      <c r="F139" t="s">
        <v>7</v>
      </c>
      <c r="G139">
        <v>180137</v>
      </c>
      <c r="H139">
        <v>42</v>
      </c>
      <c r="I139" t="s">
        <v>180</v>
      </c>
      <c r="J139" s="9">
        <v>42359</v>
      </c>
      <c r="K139" s="1">
        <v>4288.9761900000003</v>
      </c>
      <c r="L139" s="1" t="s">
        <v>165</v>
      </c>
    </row>
    <row r="140" spans="1:12" x14ac:dyDescent="0.25">
      <c r="A140" t="s">
        <v>151</v>
      </c>
      <c r="B140" t="s">
        <v>181</v>
      </c>
      <c r="C140" t="s">
        <v>124</v>
      </c>
      <c r="D140" t="s">
        <v>162</v>
      </c>
      <c r="E140" t="s">
        <v>5</v>
      </c>
      <c r="F140" t="s">
        <v>7</v>
      </c>
      <c r="G140">
        <v>151194</v>
      </c>
      <c r="H140">
        <v>28</v>
      </c>
      <c r="I140" t="s">
        <v>79</v>
      </c>
      <c r="J140" s="9">
        <v>42363</v>
      </c>
      <c r="K140" s="1">
        <v>5399.7857139999996</v>
      </c>
      <c r="L140" s="1" t="s">
        <v>165</v>
      </c>
    </row>
    <row r="141" spans="1:12" x14ac:dyDescent="0.25">
      <c r="A141" t="s">
        <v>151</v>
      </c>
      <c r="B141" t="s">
        <v>181</v>
      </c>
      <c r="C141" t="s">
        <v>182</v>
      </c>
      <c r="D141" t="s">
        <v>89</v>
      </c>
      <c r="E141" t="s">
        <v>9</v>
      </c>
      <c r="F141" t="s">
        <v>6</v>
      </c>
      <c r="G141">
        <v>90433</v>
      </c>
      <c r="H141">
        <v>19</v>
      </c>
      <c r="I141" t="s">
        <v>79</v>
      </c>
      <c r="J141" s="9">
        <v>42339</v>
      </c>
      <c r="K141" s="1">
        <v>4759.6315789999999</v>
      </c>
      <c r="L141" s="1" t="s">
        <v>167</v>
      </c>
    </row>
    <row r="142" spans="1:12" x14ac:dyDescent="0.25">
      <c r="A142" t="s">
        <v>152</v>
      </c>
      <c r="B142" t="s">
        <v>181</v>
      </c>
      <c r="C142" t="s">
        <v>141</v>
      </c>
      <c r="D142" t="s">
        <v>163</v>
      </c>
      <c r="E142" t="s">
        <v>5</v>
      </c>
      <c r="F142" t="s">
        <v>6</v>
      </c>
      <c r="G142">
        <v>130695</v>
      </c>
      <c r="H142">
        <v>28</v>
      </c>
      <c r="I142" t="s">
        <v>93</v>
      </c>
      <c r="J142" s="9">
        <v>42369</v>
      </c>
      <c r="K142" s="1">
        <v>4667.6785710000004</v>
      </c>
      <c r="L142" s="1" t="s">
        <v>165</v>
      </c>
    </row>
    <row r="143" spans="1:12" x14ac:dyDescent="0.25">
      <c r="A143" t="s">
        <v>152</v>
      </c>
      <c r="B143" t="s">
        <v>181</v>
      </c>
      <c r="C143" t="s">
        <v>182</v>
      </c>
      <c r="D143" t="s">
        <v>89</v>
      </c>
      <c r="E143" t="s">
        <v>9</v>
      </c>
      <c r="F143" t="s">
        <v>6</v>
      </c>
      <c r="G143">
        <v>59570</v>
      </c>
      <c r="H143">
        <v>32</v>
      </c>
      <c r="I143" t="s">
        <v>79</v>
      </c>
      <c r="J143" s="9">
        <v>42339</v>
      </c>
      <c r="K143" s="1">
        <v>1861.5625</v>
      </c>
      <c r="L143" s="1" t="s">
        <v>167</v>
      </c>
    </row>
    <row r="144" spans="1:12" x14ac:dyDescent="0.25">
      <c r="A144" t="s">
        <v>152</v>
      </c>
      <c r="B144" t="s">
        <v>181</v>
      </c>
      <c r="C144" t="s">
        <v>138</v>
      </c>
      <c r="D144" t="s">
        <v>162</v>
      </c>
      <c r="E144" t="s">
        <v>5</v>
      </c>
      <c r="F144" t="s">
        <v>6</v>
      </c>
      <c r="G144">
        <v>205191</v>
      </c>
      <c r="H144">
        <v>23</v>
      </c>
      <c r="I144" t="s">
        <v>79</v>
      </c>
      <c r="J144" s="9">
        <v>42369</v>
      </c>
      <c r="K144" s="1">
        <v>8921.3478259999993</v>
      </c>
      <c r="L144" s="1" t="s">
        <v>166</v>
      </c>
    </row>
    <row r="145" spans="1:12" x14ac:dyDescent="0.25">
      <c r="A145" t="s">
        <v>152</v>
      </c>
      <c r="B145" t="s">
        <v>181</v>
      </c>
      <c r="C145" t="s">
        <v>15</v>
      </c>
      <c r="D145" t="s">
        <v>162</v>
      </c>
      <c r="E145" t="s">
        <v>5</v>
      </c>
      <c r="F145" t="s">
        <v>7</v>
      </c>
      <c r="G145">
        <v>185827</v>
      </c>
      <c r="H145">
        <v>30</v>
      </c>
      <c r="I145" t="s">
        <v>81</v>
      </c>
      <c r="J145" s="9">
        <v>42363</v>
      </c>
      <c r="K145" s="1">
        <v>6194.2333330000001</v>
      </c>
      <c r="L145" s="1" t="s">
        <v>165</v>
      </c>
    </row>
    <row r="146" spans="1:12" x14ac:dyDescent="0.25">
      <c r="A146" t="s">
        <v>152</v>
      </c>
      <c r="B146" t="s">
        <v>181</v>
      </c>
      <c r="C146" t="s">
        <v>136</v>
      </c>
      <c r="D146" t="s">
        <v>87</v>
      </c>
      <c r="E146" t="s">
        <v>9</v>
      </c>
      <c r="F146" t="s">
        <v>7</v>
      </c>
      <c r="G146">
        <v>195136</v>
      </c>
      <c r="H146">
        <v>37</v>
      </c>
      <c r="I146" t="s">
        <v>180</v>
      </c>
      <c r="J146" s="9">
        <v>42369</v>
      </c>
      <c r="K146" s="1">
        <v>5273.9459459999998</v>
      </c>
      <c r="L146" s="1" t="s">
        <v>165</v>
      </c>
    </row>
    <row r="147" spans="1:12" x14ac:dyDescent="0.25">
      <c r="A147" t="s">
        <v>152</v>
      </c>
      <c r="B147" t="s">
        <v>181</v>
      </c>
      <c r="C147" t="s">
        <v>135</v>
      </c>
      <c r="D147" t="s">
        <v>161</v>
      </c>
      <c r="E147" t="s">
        <v>9</v>
      </c>
      <c r="F147" t="s">
        <v>6</v>
      </c>
      <c r="G147">
        <v>156943</v>
      </c>
      <c r="H147">
        <v>39</v>
      </c>
      <c r="I147" t="s">
        <v>180</v>
      </c>
      <c r="J147" s="9">
        <v>42339</v>
      </c>
      <c r="K147" s="1">
        <v>4024.1794869999999</v>
      </c>
      <c r="L147" s="1" t="s">
        <v>165</v>
      </c>
    </row>
    <row r="148" spans="1:12" x14ac:dyDescent="0.25">
      <c r="A148" t="s">
        <v>152</v>
      </c>
      <c r="B148" t="s">
        <v>181</v>
      </c>
      <c r="C148" t="s">
        <v>16</v>
      </c>
      <c r="D148" t="s">
        <v>162</v>
      </c>
      <c r="E148" t="s">
        <v>5</v>
      </c>
      <c r="F148" t="s">
        <v>6</v>
      </c>
      <c r="G148">
        <v>117907</v>
      </c>
      <c r="H148">
        <v>22</v>
      </c>
      <c r="I148" t="s">
        <v>81</v>
      </c>
      <c r="J148" s="9">
        <v>42369</v>
      </c>
      <c r="K148" s="1">
        <v>5359.4090910000004</v>
      </c>
      <c r="L148" s="1" t="s">
        <v>165</v>
      </c>
    </row>
    <row r="149" spans="1:12" x14ac:dyDescent="0.25">
      <c r="A149" t="s">
        <v>152</v>
      </c>
      <c r="B149" t="s">
        <v>181</v>
      </c>
      <c r="C149" t="s">
        <v>182</v>
      </c>
      <c r="D149" t="s">
        <v>89</v>
      </c>
      <c r="E149" t="s">
        <v>9</v>
      </c>
      <c r="F149" t="s">
        <v>6</v>
      </c>
      <c r="G149">
        <v>75131</v>
      </c>
      <c r="H149">
        <v>20</v>
      </c>
      <c r="I149" t="s">
        <v>79</v>
      </c>
      <c r="J149" s="9">
        <v>42339</v>
      </c>
      <c r="K149" s="1">
        <v>3756.55</v>
      </c>
      <c r="L149" s="1" t="s">
        <v>167</v>
      </c>
    </row>
    <row r="150" spans="1:12" x14ac:dyDescent="0.25">
      <c r="A150" t="s">
        <v>152</v>
      </c>
      <c r="B150" t="s">
        <v>181</v>
      </c>
      <c r="C150" t="s">
        <v>135</v>
      </c>
      <c r="D150" t="s">
        <v>161</v>
      </c>
      <c r="E150" t="s">
        <v>9</v>
      </c>
      <c r="F150" t="s">
        <v>6</v>
      </c>
      <c r="G150">
        <v>167729</v>
      </c>
      <c r="H150">
        <v>38</v>
      </c>
      <c r="I150" t="s">
        <v>180</v>
      </c>
      <c r="J150" s="9">
        <v>42339</v>
      </c>
      <c r="K150" s="1">
        <v>4413.921053</v>
      </c>
      <c r="L150" s="1" t="s">
        <v>165</v>
      </c>
    </row>
    <row r="151" spans="1:12" x14ac:dyDescent="0.25">
      <c r="A151" t="s">
        <v>152</v>
      </c>
      <c r="B151" t="s">
        <v>181</v>
      </c>
      <c r="C151" t="s">
        <v>182</v>
      </c>
      <c r="D151" t="s">
        <v>89</v>
      </c>
      <c r="E151" t="s">
        <v>9</v>
      </c>
      <c r="F151" t="s">
        <v>6</v>
      </c>
      <c r="G151">
        <v>113856</v>
      </c>
      <c r="H151">
        <v>20</v>
      </c>
      <c r="I151" t="s">
        <v>79</v>
      </c>
      <c r="J151" s="9">
        <v>42339</v>
      </c>
      <c r="K151" s="1">
        <v>5692.8</v>
      </c>
      <c r="L151" s="1" t="s">
        <v>165</v>
      </c>
    </row>
    <row r="152" spans="1:12" x14ac:dyDescent="0.25">
      <c r="A152" t="s">
        <v>152</v>
      </c>
      <c r="B152" t="s">
        <v>181</v>
      </c>
      <c r="C152" t="s">
        <v>182</v>
      </c>
      <c r="D152" t="s">
        <v>89</v>
      </c>
      <c r="E152" t="s">
        <v>9</v>
      </c>
      <c r="F152" t="s">
        <v>6</v>
      </c>
      <c r="G152">
        <v>133544</v>
      </c>
      <c r="H152">
        <v>24</v>
      </c>
      <c r="I152" t="s">
        <v>79</v>
      </c>
      <c r="J152" s="9">
        <v>42339</v>
      </c>
      <c r="K152" s="1">
        <v>5564.3333329999996</v>
      </c>
      <c r="L152" s="1" t="s">
        <v>165</v>
      </c>
    </row>
    <row r="153" spans="1:12" x14ac:dyDescent="0.25">
      <c r="A153" t="s">
        <v>152</v>
      </c>
      <c r="B153" t="s">
        <v>181</v>
      </c>
      <c r="C153" t="s">
        <v>182</v>
      </c>
      <c r="D153" t="s">
        <v>89</v>
      </c>
      <c r="E153" t="s">
        <v>9</v>
      </c>
      <c r="F153" t="s">
        <v>6</v>
      </c>
      <c r="G153">
        <v>135581</v>
      </c>
      <c r="H153">
        <v>17</v>
      </c>
      <c r="I153" t="s">
        <v>79</v>
      </c>
      <c r="J153" s="9">
        <v>42339</v>
      </c>
      <c r="K153" s="1">
        <v>7975.3529410000001</v>
      </c>
      <c r="L153" s="1" t="s">
        <v>165</v>
      </c>
    </row>
    <row r="154" spans="1:12" x14ac:dyDescent="0.25">
      <c r="A154" t="s">
        <v>152</v>
      </c>
      <c r="B154" t="s">
        <v>181</v>
      </c>
      <c r="C154" t="s">
        <v>121</v>
      </c>
      <c r="D154" t="s">
        <v>162</v>
      </c>
      <c r="E154" t="s">
        <v>5</v>
      </c>
      <c r="F154" t="s">
        <v>6</v>
      </c>
      <c r="G154">
        <v>190024</v>
      </c>
      <c r="H154">
        <v>34</v>
      </c>
      <c r="I154" t="s">
        <v>93</v>
      </c>
      <c r="J154" s="9">
        <v>42369</v>
      </c>
      <c r="K154" s="1">
        <v>5588.9411760000003</v>
      </c>
      <c r="L154" s="1" t="s">
        <v>165</v>
      </c>
    </row>
    <row r="155" spans="1:12" x14ac:dyDescent="0.25">
      <c r="A155" t="s">
        <v>153</v>
      </c>
      <c r="B155" t="s">
        <v>181</v>
      </c>
      <c r="C155" t="s">
        <v>71</v>
      </c>
      <c r="D155" t="s">
        <v>88</v>
      </c>
      <c r="E155" t="s">
        <v>9</v>
      </c>
      <c r="F155" t="s">
        <v>6</v>
      </c>
      <c r="G155">
        <v>220732</v>
      </c>
      <c r="H155">
        <v>23</v>
      </c>
      <c r="I155" t="s">
        <v>81</v>
      </c>
      <c r="J155" s="9">
        <v>42361</v>
      </c>
      <c r="K155" s="1">
        <v>9597.0434779999996</v>
      </c>
      <c r="L155" s="1" t="s">
        <v>166</v>
      </c>
    </row>
    <row r="156" spans="1:12" x14ac:dyDescent="0.25">
      <c r="A156" t="s">
        <v>153</v>
      </c>
      <c r="B156" t="s">
        <v>181</v>
      </c>
      <c r="C156" t="s">
        <v>184</v>
      </c>
      <c r="D156" t="s">
        <v>88</v>
      </c>
      <c r="E156" t="s">
        <v>9</v>
      </c>
      <c r="F156" t="s">
        <v>7</v>
      </c>
      <c r="G156">
        <v>245623</v>
      </c>
      <c r="H156">
        <v>41</v>
      </c>
      <c r="I156" t="s">
        <v>180</v>
      </c>
      <c r="J156" s="9">
        <v>42361</v>
      </c>
      <c r="K156" s="1">
        <v>5990.8048779999999</v>
      </c>
      <c r="L156" s="1" t="s">
        <v>166</v>
      </c>
    </row>
    <row r="157" spans="1:12" x14ac:dyDescent="0.25">
      <c r="A157" t="s">
        <v>153</v>
      </c>
      <c r="B157" t="s">
        <v>181</v>
      </c>
      <c r="C157" t="s">
        <v>182</v>
      </c>
      <c r="D157" t="s">
        <v>89</v>
      </c>
      <c r="E157" t="s">
        <v>9</v>
      </c>
      <c r="F157" t="s">
        <v>6</v>
      </c>
      <c r="G157">
        <v>204029</v>
      </c>
      <c r="H157">
        <v>16</v>
      </c>
      <c r="I157" t="s">
        <v>81</v>
      </c>
      <c r="J157" s="9">
        <v>42339</v>
      </c>
      <c r="K157" s="1">
        <v>12751.8125</v>
      </c>
      <c r="L157" s="1" t="s">
        <v>166</v>
      </c>
    </row>
    <row r="158" spans="1:12" x14ac:dyDescent="0.25">
      <c r="A158" t="s">
        <v>153</v>
      </c>
      <c r="B158" t="s">
        <v>181</v>
      </c>
      <c r="C158" t="s">
        <v>135</v>
      </c>
      <c r="D158" t="s">
        <v>161</v>
      </c>
      <c r="E158" t="s">
        <v>9</v>
      </c>
      <c r="F158" t="s">
        <v>6</v>
      </c>
      <c r="G158">
        <v>148290</v>
      </c>
      <c r="H158">
        <v>38</v>
      </c>
      <c r="I158" t="s">
        <v>180</v>
      </c>
      <c r="J158" s="9">
        <v>42339</v>
      </c>
      <c r="K158" s="1">
        <v>3902.3684210000001</v>
      </c>
      <c r="L158" s="1" t="s">
        <v>165</v>
      </c>
    </row>
    <row r="159" spans="1:12" x14ac:dyDescent="0.25">
      <c r="A159" t="s">
        <v>153</v>
      </c>
      <c r="B159" t="s">
        <v>181</v>
      </c>
      <c r="C159" t="s">
        <v>135</v>
      </c>
      <c r="D159" t="s">
        <v>161</v>
      </c>
      <c r="E159" t="s">
        <v>9</v>
      </c>
      <c r="F159" t="s">
        <v>6</v>
      </c>
      <c r="G159">
        <v>203682</v>
      </c>
      <c r="H159">
        <v>35</v>
      </c>
      <c r="I159" t="s">
        <v>180</v>
      </c>
      <c r="J159" s="9">
        <v>42339</v>
      </c>
      <c r="K159" s="1">
        <v>5819.4857140000004</v>
      </c>
      <c r="L159" s="1" t="s">
        <v>166</v>
      </c>
    </row>
    <row r="160" spans="1:12" x14ac:dyDescent="0.25">
      <c r="A160" t="s">
        <v>153</v>
      </c>
      <c r="B160" t="s">
        <v>181</v>
      </c>
      <c r="C160" t="s">
        <v>16</v>
      </c>
      <c r="D160" t="s">
        <v>162</v>
      </c>
      <c r="E160" t="s">
        <v>5</v>
      </c>
      <c r="F160" t="s">
        <v>6</v>
      </c>
      <c r="G160">
        <v>188033</v>
      </c>
      <c r="H160">
        <v>36</v>
      </c>
      <c r="I160" t="s">
        <v>82</v>
      </c>
      <c r="J160" s="9">
        <v>42369</v>
      </c>
      <c r="K160" s="1">
        <v>5223.1388889999998</v>
      </c>
      <c r="L160" s="1" t="s">
        <v>165</v>
      </c>
    </row>
    <row r="161" spans="1:12" x14ac:dyDescent="0.25">
      <c r="A161" t="s">
        <v>153</v>
      </c>
      <c r="B161" t="s">
        <v>181</v>
      </c>
      <c r="C161" t="s">
        <v>42</v>
      </c>
      <c r="D161" t="s">
        <v>163</v>
      </c>
      <c r="E161" t="s">
        <v>5</v>
      </c>
      <c r="F161" t="s">
        <v>7</v>
      </c>
      <c r="G161">
        <v>67771</v>
      </c>
      <c r="H161">
        <v>23</v>
      </c>
      <c r="I161" t="s">
        <v>79</v>
      </c>
      <c r="J161" s="9">
        <v>42369</v>
      </c>
      <c r="K161" s="1">
        <v>2946.5652169999998</v>
      </c>
      <c r="L161" s="1" t="s">
        <v>167</v>
      </c>
    </row>
    <row r="162" spans="1:12" x14ac:dyDescent="0.25">
      <c r="A162" t="s">
        <v>153</v>
      </c>
      <c r="B162" t="s">
        <v>181</v>
      </c>
      <c r="C162" t="s">
        <v>182</v>
      </c>
      <c r="D162" t="s">
        <v>89</v>
      </c>
      <c r="E162" t="s">
        <v>9</v>
      </c>
      <c r="F162" t="s">
        <v>6</v>
      </c>
      <c r="G162">
        <v>135986</v>
      </c>
      <c r="H162">
        <v>33</v>
      </c>
      <c r="I162" t="s">
        <v>79</v>
      </c>
      <c r="J162" s="9">
        <v>42339</v>
      </c>
      <c r="K162" s="1">
        <v>4120.7878790000004</v>
      </c>
      <c r="L162" s="1" t="s">
        <v>165</v>
      </c>
    </row>
    <row r="163" spans="1:12" x14ac:dyDescent="0.25">
      <c r="A163" t="s">
        <v>153</v>
      </c>
      <c r="B163" t="s">
        <v>181</v>
      </c>
      <c r="C163" t="s">
        <v>135</v>
      </c>
      <c r="D163" t="s">
        <v>161</v>
      </c>
      <c r="E163" t="s">
        <v>9</v>
      </c>
      <c r="F163" t="s">
        <v>6</v>
      </c>
      <c r="G163">
        <v>246000</v>
      </c>
      <c r="H163">
        <v>17</v>
      </c>
      <c r="I163" t="s">
        <v>180</v>
      </c>
      <c r="J163" s="9">
        <v>42339</v>
      </c>
      <c r="K163" s="1">
        <v>14470.588239999999</v>
      </c>
      <c r="L163" s="1" t="s">
        <v>166</v>
      </c>
    </row>
    <row r="164" spans="1:12" x14ac:dyDescent="0.25">
      <c r="A164" t="s">
        <v>153</v>
      </c>
      <c r="B164" t="s">
        <v>181</v>
      </c>
      <c r="C164" t="s">
        <v>196</v>
      </c>
      <c r="D164" t="s">
        <v>162</v>
      </c>
      <c r="E164" t="s">
        <v>5</v>
      </c>
      <c r="F164" t="s">
        <v>6</v>
      </c>
      <c r="G164">
        <v>126670</v>
      </c>
      <c r="H164">
        <v>22</v>
      </c>
      <c r="I164" t="s">
        <v>93</v>
      </c>
      <c r="J164" s="9">
        <v>42369</v>
      </c>
      <c r="K164" s="1">
        <v>5757.7272730000004</v>
      </c>
      <c r="L164" s="1" t="s">
        <v>165</v>
      </c>
    </row>
    <row r="165" spans="1:12" x14ac:dyDescent="0.25">
      <c r="A165" t="s">
        <v>154</v>
      </c>
      <c r="B165" t="s">
        <v>181</v>
      </c>
      <c r="C165" t="s">
        <v>25</v>
      </c>
      <c r="D165" t="s">
        <v>87</v>
      </c>
      <c r="E165" t="s">
        <v>9</v>
      </c>
      <c r="F165" t="s">
        <v>6</v>
      </c>
      <c r="G165">
        <v>211989</v>
      </c>
      <c r="H165">
        <v>24</v>
      </c>
      <c r="I165" t="s">
        <v>180</v>
      </c>
      <c r="J165" s="9">
        <v>42339</v>
      </c>
      <c r="K165" s="1">
        <v>8832.875</v>
      </c>
      <c r="L165" s="1" t="s">
        <v>166</v>
      </c>
    </row>
    <row r="166" spans="1:12" x14ac:dyDescent="0.25">
      <c r="A166" t="s">
        <v>154</v>
      </c>
      <c r="B166" t="s">
        <v>181</v>
      </c>
      <c r="C166" t="s">
        <v>182</v>
      </c>
      <c r="D166" t="s">
        <v>89</v>
      </c>
      <c r="E166" t="s">
        <v>9</v>
      </c>
      <c r="F166" t="s">
        <v>6</v>
      </c>
      <c r="G166">
        <v>195974</v>
      </c>
      <c r="H166">
        <v>26</v>
      </c>
      <c r="I166" t="s">
        <v>79</v>
      </c>
      <c r="J166" s="9">
        <v>42339</v>
      </c>
      <c r="K166" s="1">
        <v>7537.4615379999996</v>
      </c>
      <c r="L166" s="1" t="s">
        <v>165</v>
      </c>
    </row>
    <row r="167" spans="1:12" x14ac:dyDescent="0.25">
      <c r="A167" t="s">
        <v>154</v>
      </c>
      <c r="B167" t="s">
        <v>181</v>
      </c>
      <c r="C167" t="s">
        <v>182</v>
      </c>
      <c r="D167" t="s">
        <v>89</v>
      </c>
      <c r="E167" t="s">
        <v>9</v>
      </c>
      <c r="F167" t="s">
        <v>6</v>
      </c>
      <c r="G167">
        <v>80637</v>
      </c>
      <c r="H167">
        <v>15</v>
      </c>
      <c r="I167" t="s">
        <v>79</v>
      </c>
      <c r="J167" s="9">
        <v>42339</v>
      </c>
      <c r="K167" s="1">
        <v>5375.8</v>
      </c>
      <c r="L167" s="1" t="s">
        <v>167</v>
      </c>
    </row>
    <row r="168" spans="1:12" x14ac:dyDescent="0.25">
      <c r="A168" t="s">
        <v>154</v>
      </c>
      <c r="B168" t="s">
        <v>181</v>
      </c>
      <c r="C168" t="s">
        <v>192</v>
      </c>
      <c r="D168" t="s">
        <v>162</v>
      </c>
      <c r="E168" t="s">
        <v>5</v>
      </c>
      <c r="F168" t="s">
        <v>6</v>
      </c>
      <c r="G168">
        <v>163205</v>
      </c>
      <c r="H168">
        <v>27</v>
      </c>
      <c r="I168" t="s">
        <v>79</v>
      </c>
      <c r="J168" s="9">
        <v>42353</v>
      </c>
      <c r="K168" s="1">
        <v>6044.6296300000004</v>
      </c>
      <c r="L168" s="1" t="s">
        <v>165</v>
      </c>
    </row>
    <row r="169" spans="1:12" x14ac:dyDescent="0.25">
      <c r="A169" t="s">
        <v>154</v>
      </c>
      <c r="B169" t="s">
        <v>181</v>
      </c>
      <c r="C169" t="s">
        <v>182</v>
      </c>
      <c r="D169" t="s">
        <v>89</v>
      </c>
      <c r="E169" t="s">
        <v>9</v>
      </c>
      <c r="F169" t="s">
        <v>6</v>
      </c>
      <c r="G169">
        <v>90539</v>
      </c>
      <c r="H169">
        <v>28</v>
      </c>
      <c r="I169" t="s">
        <v>79</v>
      </c>
      <c r="J169" s="9">
        <v>42339</v>
      </c>
      <c r="K169" s="1">
        <v>3233.5357140000001</v>
      </c>
      <c r="L169" s="1" t="s">
        <v>167</v>
      </c>
    </row>
    <row r="170" spans="1:12" x14ac:dyDescent="0.25">
      <c r="A170" t="s">
        <v>154</v>
      </c>
      <c r="B170" t="s">
        <v>181</v>
      </c>
      <c r="C170" t="s">
        <v>182</v>
      </c>
      <c r="D170" t="s">
        <v>89</v>
      </c>
      <c r="E170" t="s">
        <v>9</v>
      </c>
      <c r="F170" t="s">
        <v>6</v>
      </c>
      <c r="G170">
        <v>56750</v>
      </c>
      <c r="H170">
        <v>36</v>
      </c>
      <c r="I170" t="s">
        <v>180</v>
      </c>
      <c r="J170" s="9">
        <v>42339</v>
      </c>
      <c r="K170" s="1">
        <v>1576.3888890000001</v>
      </c>
      <c r="L170" s="1" t="s">
        <v>167</v>
      </c>
    </row>
    <row r="171" spans="1:12" x14ac:dyDescent="0.25">
      <c r="A171" t="s">
        <v>154</v>
      </c>
      <c r="B171" t="s">
        <v>181</v>
      </c>
      <c r="C171" t="s">
        <v>143</v>
      </c>
      <c r="D171" t="s">
        <v>162</v>
      </c>
      <c r="E171" t="s">
        <v>5</v>
      </c>
      <c r="F171" t="s">
        <v>6</v>
      </c>
      <c r="G171">
        <v>111493</v>
      </c>
      <c r="H171">
        <v>22</v>
      </c>
      <c r="I171" t="s">
        <v>93</v>
      </c>
      <c r="J171" s="9">
        <v>42368</v>
      </c>
      <c r="K171" s="1">
        <v>5067.863636</v>
      </c>
      <c r="L171" s="1" t="s">
        <v>165</v>
      </c>
    </row>
    <row r="172" spans="1:12" x14ac:dyDescent="0.25">
      <c r="A172" t="s">
        <v>154</v>
      </c>
      <c r="B172" t="s">
        <v>181</v>
      </c>
      <c r="C172" t="s">
        <v>184</v>
      </c>
      <c r="D172" t="s">
        <v>88</v>
      </c>
      <c r="E172" t="s">
        <v>9</v>
      </c>
      <c r="F172" t="s">
        <v>7</v>
      </c>
      <c r="G172">
        <v>205025</v>
      </c>
      <c r="H172">
        <v>38</v>
      </c>
      <c r="I172" t="s">
        <v>82</v>
      </c>
      <c r="J172" s="9">
        <v>42361</v>
      </c>
      <c r="K172" s="1">
        <v>5395.3947369999996</v>
      </c>
      <c r="L172" s="1" t="s">
        <v>166</v>
      </c>
    </row>
    <row r="173" spans="1:12" x14ac:dyDescent="0.25">
      <c r="A173" t="s">
        <v>154</v>
      </c>
      <c r="B173" t="s">
        <v>181</v>
      </c>
      <c r="C173" t="s">
        <v>135</v>
      </c>
      <c r="D173" t="s">
        <v>161</v>
      </c>
      <c r="E173" t="s">
        <v>9</v>
      </c>
      <c r="F173" t="s">
        <v>6</v>
      </c>
      <c r="G173">
        <v>120213</v>
      </c>
      <c r="H173">
        <v>18</v>
      </c>
      <c r="I173" t="s">
        <v>180</v>
      </c>
      <c r="J173" s="9">
        <v>42339</v>
      </c>
      <c r="K173" s="1">
        <v>6678.5</v>
      </c>
      <c r="L173" s="1" t="s">
        <v>165</v>
      </c>
    </row>
    <row r="174" spans="1:12" x14ac:dyDescent="0.25">
      <c r="A174" t="s">
        <v>154</v>
      </c>
      <c r="B174" t="s">
        <v>181</v>
      </c>
      <c r="C174" t="s">
        <v>192</v>
      </c>
      <c r="D174" t="s">
        <v>162</v>
      </c>
      <c r="E174" t="s">
        <v>5</v>
      </c>
      <c r="F174" t="s">
        <v>6</v>
      </c>
      <c r="G174">
        <v>125045</v>
      </c>
      <c r="H174">
        <v>37</v>
      </c>
      <c r="I174" t="s">
        <v>93</v>
      </c>
      <c r="J174" s="9">
        <v>42369</v>
      </c>
      <c r="K174" s="1">
        <v>3379.594595</v>
      </c>
      <c r="L174" s="1" t="s">
        <v>165</v>
      </c>
    </row>
    <row r="175" spans="1:12" x14ac:dyDescent="0.25">
      <c r="A175" t="s">
        <v>154</v>
      </c>
      <c r="B175" t="s">
        <v>181</v>
      </c>
      <c r="C175" t="s">
        <v>182</v>
      </c>
      <c r="D175" t="s">
        <v>89</v>
      </c>
      <c r="E175" t="s">
        <v>9</v>
      </c>
      <c r="F175" t="s">
        <v>6</v>
      </c>
      <c r="G175">
        <v>215830</v>
      </c>
      <c r="H175">
        <v>39</v>
      </c>
      <c r="I175" t="s">
        <v>79</v>
      </c>
      <c r="J175" s="9">
        <v>42339</v>
      </c>
      <c r="K175" s="1">
        <v>5534.1025639999998</v>
      </c>
      <c r="L175" s="1" t="s">
        <v>166</v>
      </c>
    </row>
    <row r="176" spans="1:12" x14ac:dyDescent="0.25">
      <c r="A176" t="s">
        <v>154</v>
      </c>
      <c r="B176" t="s">
        <v>181</v>
      </c>
      <c r="C176" t="s">
        <v>192</v>
      </c>
      <c r="D176" t="s">
        <v>162</v>
      </c>
      <c r="E176" t="s">
        <v>5</v>
      </c>
      <c r="F176" t="s">
        <v>6</v>
      </c>
      <c r="G176">
        <v>55065</v>
      </c>
      <c r="H176">
        <v>34</v>
      </c>
      <c r="I176" t="s">
        <v>180</v>
      </c>
      <c r="J176" s="9">
        <v>42353</v>
      </c>
      <c r="K176" s="1">
        <v>1619.558824</v>
      </c>
      <c r="L176" s="1" t="s">
        <v>167</v>
      </c>
    </row>
    <row r="177" spans="1:12" x14ac:dyDescent="0.25">
      <c r="A177" t="s">
        <v>155</v>
      </c>
      <c r="B177" t="s">
        <v>181</v>
      </c>
      <c r="C177" t="s">
        <v>124</v>
      </c>
      <c r="D177" t="s">
        <v>162</v>
      </c>
      <c r="E177" t="s">
        <v>5</v>
      </c>
      <c r="F177" t="s">
        <v>6</v>
      </c>
      <c r="G177">
        <v>60113</v>
      </c>
      <c r="H177">
        <v>26</v>
      </c>
      <c r="I177" t="s">
        <v>79</v>
      </c>
      <c r="J177" s="9">
        <v>42429</v>
      </c>
      <c r="K177" s="1">
        <v>2312.038462</v>
      </c>
      <c r="L177" s="1" t="s">
        <v>167</v>
      </c>
    </row>
    <row r="178" spans="1:12" x14ac:dyDescent="0.25">
      <c r="A178" t="s">
        <v>155</v>
      </c>
      <c r="B178" t="s">
        <v>181</v>
      </c>
      <c r="C178" t="s">
        <v>124</v>
      </c>
      <c r="D178" t="s">
        <v>162</v>
      </c>
      <c r="E178" t="s">
        <v>5</v>
      </c>
      <c r="F178" t="s">
        <v>6</v>
      </c>
      <c r="G178">
        <v>141100</v>
      </c>
      <c r="H178">
        <v>16</v>
      </c>
      <c r="I178" t="s">
        <v>82</v>
      </c>
      <c r="J178" s="9">
        <v>42429</v>
      </c>
      <c r="K178" s="1">
        <v>8818.75</v>
      </c>
      <c r="L178" s="1" t="s">
        <v>165</v>
      </c>
    </row>
    <row r="179" spans="1:12" x14ac:dyDescent="0.25">
      <c r="A179" t="s">
        <v>155</v>
      </c>
      <c r="B179" t="s">
        <v>181</v>
      </c>
      <c r="C179" t="s">
        <v>192</v>
      </c>
      <c r="D179" t="s">
        <v>162</v>
      </c>
      <c r="E179" t="s">
        <v>5</v>
      </c>
      <c r="F179" t="s">
        <v>6</v>
      </c>
      <c r="G179">
        <v>73346</v>
      </c>
      <c r="H179">
        <v>30</v>
      </c>
      <c r="I179" t="s">
        <v>82</v>
      </c>
      <c r="J179" s="9">
        <v>42426</v>
      </c>
      <c r="K179" s="1">
        <v>2444.8666669999998</v>
      </c>
      <c r="L179" s="1" t="s">
        <v>167</v>
      </c>
    </row>
    <row r="180" spans="1:12" x14ac:dyDescent="0.25">
      <c r="A180" t="s">
        <v>156</v>
      </c>
      <c r="B180" t="s">
        <v>181</v>
      </c>
      <c r="C180" t="s">
        <v>21</v>
      </c>
      <c r="D180" t="s">
        <v>86</v>
      </c>
      <c r="E180" t="s">
        <v>9</v>
      </c>
      <c r="F180" t="s">
        <v>6</v>
      </c>
      <c r="G180">
        <v>198166</v>
      </c>
      <c r="H180">
        <v>24</v>
      </c>
      <c r="I180" t="s">
        <v>81</v>
      </c>
      <c r="J180" s="9">
        <v>42401</v>
      </c>
      <c r="K180" s="1">
        <v>8256.9166669999995</v>
      </c>
      <c r="L180" s="1" t="s">
        <v>165</v>
      </c>
    </row>
    <row r="181" spans="1:12" x14ac:dyDescent="0.25">
      <c r="A181" t="s">
        <v>156</v>
      </c>
      <c r="B181" t="s">
        <v>181</v>
      </c>
      <c r="C181" t="s">
        <v>120</v>
      </c>
      <c r="D181" t="s">
        <v>86</v>
      </c>
      <c r="E181" t="s">
        <v>5</v>
      </c>
      <c r="F181" t="s">
        <v>6</v>
      </c>
      <c r="G181">
        <v>82356</v>
      </c>
      <c r="H181">
        <v>20</v>
      </c>
      <c r="I181" t="s">
        <v>93</v>
      </c>
      <c r="J181" s="9">
        <v>42426</v>
      </c>
      <c r="K181" s="1">
        <v>4117.8</v>
      </c>
      <c r="L181" s="1" t="s">
        <v>167</v>
      </c>
    </row>
    <row r="182" spans="1:12" x14ac:dyDescent="0.25">
      <c r="A182" t="s">
        <v>156</v>
      </c>
      <c r="B182" t="s">
        <v>181</v>
      </c>
      <c r="C182" t="s">
        <v>23</v>
      </c>
      <c r="D182" t="s">
        <v>86</v>
      </c>
      <c r="E182" t="s">
        <v>5</v>
      </c>
      <c r="F182" t="s">
        <v>6</v>
      </c>
      <c r="G182">
        <v>156686</v>
      </c>
      <c r="H182">
        <v>37</v>
      </c>
      <c r="I182" t="s">
        <v>93</v>
      </c>
      <c r="J182" s="9">
        <v>42426</v>
      </c>
      <c r="K182" s="1">
        <v>4234.7567570000001</v>
      </c>
      <c r="L182" s="1" t="s">
        <v>165</v>
      </c>
    </row>
    <row r="183" spans="1:12" x14ac:dyDescent="0.25">
      <c r="A183" t="s">
        <v>156</v>
      </c>
      <c r="B183" t="s">
        <v>181</v>
      </c>
      <c r="C183" t="s">
        <v>145</v>
      </c>
      <c r="D183" t="s">
        <v>86</v>
      </c>
      <c r="E183" t="s">
        <v>5</v>
      </c>
      <c r="F183" t="s">
        <v>6</v>
      </c>
      <c r="G183">
        <v>66316</v>
      </c>
      <c r="H183">
        <v>27</v>
      </c>
      <c r="I183" t="s">
        <v>82</v>
      </c>
      <c r="J183" s="9">
        <v>42429</v>
      </c>
      <c r="K183" s="1">
        <v>2456.1481480000002</v>
      </c>
      <c r="L183" s="1" t="s">
        <v>167</v>
      </c>
    </row>
    <row r="184" spans="1:12" x14ac:dyDescent="0.25">
      <c r="A184" t="s">
        <v>150</v>
      </c>
      <c r="B184" t="s">
        <v>181</v>
      </c>
      <c r="C184" t="s">
        <v>192</v>
      </c>
      <c r="D184" t="s">
        <v>162</v>
      </c>
      <c r="E184" t="s">
        <v>5</v>
      </c>
      <c r="F184" t="s">
        <v>6</v>
      </c>
      <c r="G184">
        <v>228162</v>
      </c>
      <c r="H184">
        <v>38</v>
      </c>
      <c r="I184" t="s">
        <v>180</v>
      </c>
      <c r="J184" s="9">
        <v>42418</v>
      </c>
      <c r="K184" s="1">
        <v>6004.2631579999997</v>
      </c>
      <c r="L184" s="1" t="s">
        <v>166</v>
      </c>
    </row>
    <row r="185" spans="1:12" x14ac:dyDescent="0.25">
      <c r="A185" t="s">
        <v>150</v>
      </c>
      <c r="B185" t="s">
        <v>181</v>
      </c>
      <c r="C185" t="s">
        <v>192</v>
      </c>
      <c r="D185" t="s">
        <v>162</v>
      </c>
      <c r="E185" t="s">
        <v>5</v>
      </c>
      <c r="F185" t="s">
        <v>6</v>
      </c>
      <c r="G185">
        <v>123163</v>
      </c>
      <c r="H185">
        <v>18</v>
      </c>
      <c r="I185" t="s">
        <v>180</v>
      </c>
      <c r="J185" s="9">
        <v>42426</v>
      </c>
      <c r="K185" s="1">
        <v>6842.3888889999998</v>
      </c>
      <c r="L185" s="1" t="s">
        <v>165</v>
      </c>
    </row>
    <row r="186" spans="1:12" x14ac:dyDescent="0.25">
      <c r="A186" t="s">
        <v>150</v>
      </c>
      <c r="B186" t="s">
        <v>181</v>
      </c>
      <c r="C186" t="s">
        <v>21</v>
      </c>
      <c r="D186" t="s">
        <v>86</v>
      </c>
      <c r="E186" t="s">
        <v>9</v>
      </c>
      <c r="F186" t="s">
        <v>6</v>
      </c>
      <c r="G186">
        <v>109319</v>
      </c>
      <c r="H186">
        <v>36</v>
      </c>
      <c r="I186" t="s">
        <v>81</v>
      </c>
      <c r="J186" s="9">
        <v>42401</v>
      </c>
      <c r="K186" s="1">
        <v>3036.6388889999998</v>
      </c>
      <c r="L186" s="1" t="s">
        <v>165</v>
      </c>
    </row>
    <row r="187" spans="1:12" x14ac:dyDescent="0.25">
      <c r="A187" t="s">
        <v>150</v>
      </c>
      <c r="B187" t="s">
        <v>181</v>
      </c>
      <c r="C187" t="s">
        <v>124</v>
      </c>
      <c r="D187" t="s">
        <v>162</v>
      </c>
      <c r="E187" t="s">
        <v>5</v>
      </c>
      <c r="F187" t="s">
        <v>6</v>
      </c>
      <c r="G187">
        <v>90697</v>
      </c>
      <c r="H187">
        <v>30</v>
      </c>
      <c r="I187" t="s">
        <v>180</v>
      </c>
      <c r="J187" s="9">
        <v>42429</v>
      </c>
      <c r="K187" s="1">
        <v>3023.2333330000001</v>
      </c>
      <c r="L187" s="1" t="s">
        <v>167</v>
      </c>
    </row>
    <row r="188" spans="1:12" x14ac:dyDescent="0.25">
      <c r="A188" t="s">
        <v>150</v>
      </c>
      <c r="B188" t="s">
        <v>181</v>
      </c>
      <c r="C188" t="s">
        <v>21</v>
      </c>
      <c r="D188" t="s">
        <v>86</v>
      </c>
      <c r="E188" t="s">
        <v>9</v>
      </c>
      <c r="F188" t="s">
        <v>6</v>
      </c>
      <c r="G188">
        <v>126899</v>
      </c>
      <c r="H188">
        <v>21</v>
      </c>
      <c r="I188" t="s">
        <v>81</v>
      </c>
      <c r="J188" s="9">
        <v>42401</v>
      </c>
      <c r="K188" s="1">
        <v>6042.8095240000002</v>
      </c>
      <c r="L188" s="1" t="s">
        <v>165</v>
      </c>
    </row>
    <row r="189" spans="1:12" x14ac:dyDescent="0.25">
      <c r="A189" t="s">
        <v>150</v>
      </c>
      <c r="B189" t="s">
        <v>181</v>
      </c>
      <c r="C189" t="s">
        <v>21</v>
      </c>
      <c r="D189" t="s">
        <v>86</v>
      </c>
      <c r="E189" t="s">
        <v>9</v>
      </c>
      <c r="F189" t="s">
        <v>6</v>
      </c>
      <c r="G189">
        <v>190190</v>
      </c>
      <c r="H189">
        <v>21</v>
      </c>
      <c r="I189" t="s">
        <v>79</v>
      </c>
      <c r="J189" s="9">
        <v>42401</v>
      </c>
      <c r="K189" s="1">
        <v>9056.6666669999995</v>
      </c>
      <c r="L189" s="1" t="s">
        <v>165</v>
      </c>
    </row>
    <row r="190" spans="1:12" x14ac:dyDescent="0.25">
      <c r="A190" t="s">
        <v>150</v>
      </c>
      <c r="B190" t="s">
        <v>181</v>
      </c>
      <c r="C190" t="s">
        <v>184</v>
      </c>
      <c r="D190" t="s">
        <v>89</v>
      </c>
      <c r="E190" t="s">
        <v>9</v>
      </c>
      <c r="F190" t="s">
        <v>7</v>
      </c>
      <c r="G190">
        <v>249032</v>
      </c>
      <c r="H190">
        <v>36</v>
      </c>
      <c r="I190" t="s">
        <v>81</v>
      </c>
      <c r="J190" s="9">
        <v>42429</v>
      </c>
      <c r="K190" s="1">
        <v>6917.5555560000003</v>
      </c>
      <c r="L190" s="1" t="s">
        <v>166</v>
      </c>
    </row>
    <row r="191" spans="1:12" x14ac:dyDescent="0.25">
      <c r="A191" t="s">
        <v>157</v>
      </c>
      <c r="B191" t="s">
        <v>181</v>
      </c>
      <c r="C191" t="s">
        <v>124</v>
      </c>
      <c r="D191" t="s">
        <v>162</v>
      </c>
      <c r="E191" t="s">
        <v>5</v>
      </c>
      <c r="F191" t="s">
        <v>6</v>
      </c>
      <c r="G191">
        <v>128165</v>
      </c>
      <c r="H191">
        <v>31</v>
      </c>
      <c r="I191" t="s">
        <v>82</v>
      </c>
      <c r="J191" s="9">
        <v>42429</v>
      </c>
      <c r="K191" s="1">
        <v>4134.3548389999996</v>
      </c>
      <c r="L191" s="1" t="s">
        <v>165</v>
      </c>
    </row>
    <row r="192" spans="1:12" x14ac:dyDescent="0.25">
      <c r="A192" t="s">
        <v>157</v>
      </c>
      <c r="B192" t="s">
        <v>181</v>
      </c>
      <c r="C192" t="s">
        <v>22</v>
      </c>
      <c r="D192" t="s">
        <v>86</v>
      </c>
      <c r="E192" t="s">
        <v>9</v>
      </c>
      <c r="F192" t="s">
        <v>6</v>
      </c>
      <c r="G192">
        <v>64326</v>
      </c>
      <c r="H192">
        <v>30</v>
      </c>
      <c r="I192" t="s">
        <v>79</v>
      </c>
      <c r="J192" s="9">
        <v>42401</v>
      </c>
      <c r="K192" s="1">
        <v>2144.1999999999998</v>
      </c>
      <c r="L192" s="1" t="s">
        <v>167</v>
      </c>
    </row>
    <row r="193" spans="1:12" x14ac:dyDescent="0.25">
      <c r="A193" t="s">
        <v>157</v>
      </c>
      <c r="B193" t="s">
        <v>181</v>
      </c>
      <c r="C193" t="s">
        <v>124</v>
      </c>
      <c r="D193" t="s">
        <v>162</v>
      </c>
      <c r="E193" t="s">
        <v>5</v>
      </c>
      <c r="F193" t="s">
        <v>6</v>
      </c>
      <c r="G193">
        <v>125963</v>
      </c>
      <c r="H193">
        <v>36</v>
      </c>
      <c r="I193" t="s">
        <v>79</v>
      </c>
      <c r="J193" s="9">
        <v>42429</v>
      </c>
      <c r="K193" s="1">
        <v>3498.9722219999999</v>
      </c>
      <c r="L193" s="1" t="s">
        <v>165</v>
      </c>
    </row>
    <row r="194" spans="1:12" x14ac:dyDescent="0.25">
      <c r="A194" t="s">
        <v>157</v>
      </c>
      <c r="B194" t="s">
        <v>181</v>
      </c>
      <c r="C194" t="s">
        <v>192</v>
      </c>
      <c r="D194" t="s">
        <v>162</v>
      </c>
      <c r="E194" t="s">
        <v>5</v>
      </c>
      <c r="F194" t="s">
        <v>6</v>
      </c>
      <c r="G194">
        <v>217326</v>
      </c>
      <c r="H194">
        <v>15</v>
      </c>
      <c r="I194" t="s">
        <v>79</v>
      </c>
      <c r="J194" s="9">
        <v>42418</v>
      </c>
      <c r="K194" s="1">
        <v>14488.4</v>
      </c>
      <c r="L194" s="1" t="s">
        <v>166</v>
      </c>
    </row>
    <row r="195" spans="1:12" x14ac:dyDescent="0.25">
      <c r="A195" t="s">
        <v>157</v>
      </c>
      <c r="B195" t="s">
        <v>181</v>
      </c>
      <c r="C195" t="s">
        <v>124</v>
      </c>
      <c r="D195" t="s">
        <v>162</v>
      </c>
      <c r="E195" t="s">
        <v>5</v>
      </c>
      <c r="F195" t="s">
        <v>6</v>
      </c>
      <c r="G195">
        <v>247619</v>
      </c>
      <c r="H195">
        <v>35</v>
      </c>
      <c r="I195" t="s">
        <v>93</v>
      </c>
      <c r="J195" s="9">
        <v>42429</v>
      </c>
      <c r="K195" s="1">
        <v>7074.828571</v>
      </c>
      <c r="L195" s="1" t="s">
        <v>166</v>
      </c>
    </row>
    <row r="196" spans="1:12" x14ac:dyDescent="0.25">
      <c r="A196" t="s">
        <v>157</v>
      </c>
      <c r="B196" t="s">
        <v>181</v>
      </c>
      <c r="C196" t="s">
        <v>21</v>
      </c>
      <c r="D196" t="s">
        <v>86</v>
      </c>
      <c r="E196" t="s">
        <v>9</v>
      </c>
      <c r="F196" t="s">
        <v>6</v>
      </c>
      <c r="G196">
        <v>96045</v>
      </c>
      <c r="H196">
        <v>15</v>
      </c>
      <c r="I196" t="s">
        <v>79</v>
      </c>
      <c r="J196" s="9">
        <v>42401</v>
      </c>
      <c r="K196" s="1">
        <v>6403</v>
      </c>
      <c r="L196" s="1" t="s">
        <v>167</v>
      </c>
    </row>
    <row r="197" spans="1:12" x14ac:dyDescent="0.25">
      <c r="A197" t="s">
        <v>157</v>
      </c>
      <c r="B197" t="s">
        <v>181</v>
      </c>
      <c r="C197" t="s">
        <v>21</v>
      </c>
      <c r="D197" t="s">
        <v>86</v>
      </c>
      <c r="E197" t="s">
        <v>9</v>
      </c>
      <c r="F197" t="s">
        <v>6</v>
      </c>
      <c r="G197">
        <v>60605</v>
      </c>
      <c r="H197">
        <v>16</v>
      </c>
      <c r="I197" t="s">
        <v>81</v>
      </c>
      <c r="J197" s="9">
        <v>42401</v>
      </c>
      <c r="K197" s="1">
        <v>3787.8125</v>
      </c>
      <c r="L197" s="1" t="s">
        <v>167</v>
      </c>
    </row>
    <row r="198" spans="1:12" x14ac:dyDescent="0.25">
      <c r="A198" t="s">
        <v>157</v>
      </c>
      <c r="B198" t="s">
        <v>181</v>
      </c>
      <c r="C198" t="s">
        <v>21</v>
      </c>
      <c r="D198" t="s">
        <v>86</v>
      </c>
      <c r="E198" t="s">
        <v>9</v>
      </c>
      <c r="F198" t="s">
        <v>6</v>
      </c>
      <c r="G198">
        <v>247695</v>
      </c>
      <c r="H198">
        <v>24</v>
      </c>
      <c r="I198" t="s">
        <v>82</v>
      </c>
      <c r="J198" s="9">
        <v>42401</v>
      </c>
      <c r="K198" s="1">
        <v>10320.625</v>
      </c>
      <c r="L198" s="1" t="s">
        <v>166</v>
      </c>
    </row>
    <row r="199" spans="1:12" x14ac:dyDescent="0.25">
      <c r="A199" t="s">
        <v>151</v>
      </c>
      <c r="B199" t="s">
        <v>181</v>
      </c>
      <c r="C199" t="s">
        <v>21</v>
      </c>
      <c r="D199" t="s">
        <v>86</v>
      </c>
      <c r="E199" t="s">
        <v>9</v>
      </c>
      <c r="F199" t="s">
        <v>6</v>
      </c>
      <c r="G199">
        <v>213165</v>
      </c>
      <c r="H199">
        <v>39</v>
      </c>
      <c r="I199" t="s">
        <v>79</v>
      </c>
      <c r="J199" s="9">
        <v>42401</v>
      </c>
      <c r="K199" s="1">
        <v>5465.7692310000002</v>
      </c>
      <c r="L199" s="1" t="s">
        <v>166</v>
      </c>
    </row>
    <row r="200" spans="1:12" x14ac:dyDescent="0.25">
      <c r="A200" t="s">
        <v>151</v>
      </c>
      <c r="B200" t="s">
        <v>181</v>
      </c>
      <c r="C200" t="s">
        <v>21</v>
      </c>
      <c r="D200" t="s">
        <v>86</v>
      </c>
      <c r="E200" t="s">
        <v>9</v>
      </c>
      <c r="F200" t="s">
        <v>6</v>
      </c>
      <c r="G200">
        <v>175282</v>
      </c>
      <c r="H200">
        <v>36</v>
      </c>
      <c r="I200" t="s">
        <v>79</v>
      </c>
      <c r="J200" s="9">
        <v>42401</v>
      </c>
      <c r="K200" s="1">
        <v>4868.9444439999997</v>
      </c>
      <c r="L200" s="1" t="s">
        <v>165</v>
      </c>
    </row>
    <row r="201" spans="1:12" x14ac:dyDescent="0.25">
      <c r="A201" t="s">
        <v>151</v>
      </c>
      <c r="B201" t="s">
        <v>181</v>
      </c>
      <c r="C201" t="s">
        <v>20</v>
      </c>
      <c r="D201" t="s">
        <v>86</v>
      </c>
      <c r="E201" t="s">
        <v>9</v>
      </c>
      <c r="F201" t="s">
        <v>6</v>
      </c>
      <c r="G201">
        <v>207526</v>
      </c>
      <c r="H201">
        <v>29</v>
      </c>
      <c r="I201" t="s">
        <v>180</v>
      </c>
      <c r="J201" s="9">
        <v>42401</v>
      </c>
      <c r="K201" s="1">
        <v>7156.0689659999998</v>
      </c>
      <c r="L201" s="1" t="s">
        <v>166</v>
      </c>
    </row>
    <row r="202" spans="1:12" x14ac:dyDescent="0.25">
      <c r="A202" t="s">
        <v>151</v>
      </c>
      <c r="B202" t="s">
        <v>181</v>
      </c>
      <c r="C202" t="s">
        <v>20</v>
      </c>
      <c r="D202" t="s">
        <v>86</v>
      </c>
      <c r="E202" t="s">
        <v>9</v>
      </c>
      <c r="F202" t="s">
        <v>6</v>
      </c>
      <c r="G202">
        <v>57043</v>
      </c>
      <c r="H202">
        <v>18</v>
      </c>
      <c r="I202" t="s">
        <v>79</v>
      </c>
      <c r="J202" s="9">
        <v>42401</v>
      </c>
      <c r="K202" s="1">
        <v>3169.0555559999998</v>
      </c>
      <c r="L202" s="1" t="s">
        <v>167</v>
      </c>
    </row>
    <row r="203" spans="1:12" x14ac:dyDescent="0.25">
      <c r="A203" t="s">
        <v>151</v>
      </c>
      <c r="B203" t="s">
        <v>181</v>
      </c>
      <c r="C203" t="s">
        <v>11</v>
      </c>
      <c r="D203" t="s">
        <v>163</v>
      </c>
      <c r="E203" t="s">
        <v>5</v>
      </c>
      <c r="F203" t="s">
        <v>6</v>
      </c>
      <c r="G203">
        <v>143396</v>
      </c>
      <c r="H203">
        <v>34</v>
      </c>
      <c r="I203" t="s">
        <v>180</v>
      </c>
      <c r="J203" s="9">
        <v>42429</v>
      </c>
      <c r="K203" s="1">
        <v>4217.5294119999999</v>
      </c>
      <c r="L203" s="1" t="s">
        <v>165</v>
      </c>
    </row>
    <row r="204" spans="1:12" x14ac:dyDescent="0.25">
      <c r="A204" t="s">
        <v>152</v>
      </c>
      <c r="B204" t="s">
        <v>181</v>
      </c>
      <c r="C204" t="s">
        <v>20</v>
      </c>
      <c r="D204" t="s">
        <v>86</v>
      </c>
      <c r="E204" t="s">
        <v>9</v>
      </c>
      <c r="F204" t="s">
        <v>6</v>
      </c>
      <c r="G204">
        <v>236237</v>
      </c>
      <c r="H204">
        <v>20</v>
      </c>
      <c r="I204" t="s">
        <v>79</v>
      </c>
      <c r="J204" s="9">
        <v>42401</v>
      </c>
      <c r="K204" s="1">
        <v>11811.85</v>
      </c>
      <c r="L204" s="1" t="s">
        <v>166</v>
      </c>
    </row>
    <row r="205" spans="1:12" x14ac:dyDescent="0.25">
      <c r="A205" t="s">
        <v>152</v>
      </c>
      <c r="B205" t="s">
        <v>181</v>
      </c>
      <c r="C205" t="s">
        <v>192</v>
      </c>
      <c r="D205" t="s">
        <v>162</v>
      </c>
      <c r="E205" t="s">
        <v>5</v>
      </c>
      <c r="F205" t="s">
        <v>6</v>
      </c>
      <c r="G205">
        <v>166285</v>
      </c>
      <c r="H205">
        <v>29</v>
      </c>
      <c r="I205" t="s">
        <v>79</v>
      </c>
      <c r="J205" s="9">
        <v>42426</v>
      </c>
      <c r="K205" s="1">
        <v>5733.9655169999996</v>
      </c>
      <c r="L205" s="1" t="s">
        <v>165</v>
      </c>
    </row>
    <row r="206" spans="1:12" x14ac:dyDescent="0.25">
      <c r="A206" t="s">
        <v>152</v>
      </c>
      <c r="B206" t="s">
        <v>181</v>
      </c>
      <c r="C206" t="s">
        <v>22</v>
      </c>
      <c r="D206" t="s">
        <v>86</v>
      </c>
      <c r="E206" t="s">
        <v>9</v>
      </c>
      <c r="F206" t="s">
        <v>6</v>
      </c>
      <c r="G206">
        <v>235433</v>
      </c>
      <c r="H206">
        <v>33</v>
      </c>
      <c r="I206" t="s">
        <v>79</v>
      </c>
      <c r="J206" s="9">
        <v>42401</v>
      </c>
      <c r="K206" s="1">
        <v>7134.3333329999996</v>
      </c>
      <c r="L206" s="1" t="s">
        <v>166</v>
      </c>
    </row>
    <row r="207" spans="1:12" x14ac:dyDescent="0.25">
      <c r="A207" t="s">
        <v>152</v>
      </c>
      <c r="B207" t="s">
        <v>181</v>
      </c>
      <c r="C207" t="s">
        <v>130</v>
      </c>
      <c r="D207" t="s">
        <v>86</v>
      </c>
      <c r="E207" t="s">
        <v>5</v>
      </c>
      <c r="F207" t="s">
        <v>6</v>
      </c>
      <c r="G207">
        <v>244064</v>
      </c>
      <c r="H207">
        <v>25</v>
      </c>
      <c r="I207" t="s">
        <v>93</v>
      </c>
      <c r="J207" s="9">
        <v>42426</v>
      </c>
      <c r="K207" s="1">
        <v>9762.56</v>
      </c>
      <c r="L207" s="1" t="s">
        <v>166</v>
      </c>
    </row>
    <row r="208" spans="1:12" x14ac:dyDescent="0.25">
      <c r="A208" t="s">
        <v>153</v>
      </c>
      <c r="B208" t="s">
        <v>181</v>
      </c>
      <c r="C208" t="s">
        <v>187</v>
      </c>
      <c r="D208" t="s">
        <v>86</v>
      </c>
      <c r="E208" t="s">
        <v>5</v>
      </c>
      <c r="F208" t="s">
        <v>6</v>
      </c>
      <c r="G208">
        <v>53014</v>
      </c>
      <c r="H208">
        <v>15</v>
      </c>
      <c r="I208" t="s">
        <v>82</v>
      </c>
      <c r="J208" s="9">
        <v>42429</v>
      </c>
      <c r="K208" s="1">
        <v>3534.2666669999999</v>
      </c>
      <c r="L208" s="1" t="s">
        <v>167</v>
      </c>
    </row>
    <row r="209" spans="1:12" x14ac:dyDescent="0.25">
      <c r="A209" t="s">
        <v>153</v>
      </c>
      <c r="B209" t="s">
        <v>181</v>
      </c>
      <c r="C209" t="s">
        <v>22</v>
      </c>
      <c r="D209" t="s">
        <v>86</v>
      </c>
      <c r="E209" t="s">
        <v>9</v>
      </c>
      <c r="F209" t="s">
        <v>6</v>
      </c>
      <c r="G209">
        <v>187059</v>
      </c>
      <c r="H209">
        <v>28</v>
      </c>
      <c r="I209" t="s">
        <v>79</v>
      </c>
      <c r="J209" s="9">
        <v>42401</v>
      </c>
      <c r="K209" s="1">
        <v>6680.6785710000004</v>
      </c>
      <c r="L209" s="1" t="s">
        <v>165</v>
      </c>
    </row>
    <row r="210" spans="1:12" x14ac:dyDescent="0.25">
      <c r="A210" t="s">
        <v>154</v>
      </c>
      <c r="B210" t="s">
        <v>181</v>
      </c>
      <c r="C210" t="s">
        <v>20</v>
      </c>
      <c r="D210" t="s">
        <v>86</v>
      </c>
      <c r="E210" t="s">
        <v>9</v>
      </c>
      <c r="F210" t="s">
        <v>6</v>
      </c>
      <c r="G210">
        <v>206167</v>
      </c>
      <c r="H210">
        <v>40</v>
      </c>
      <c r="I210" t="s">
        <v>79</v>
      </c>
      <c r="J210" s="9">
        <v>42401</v>
      </c>
      <c r="K210" s="1">
        <v>5154.1750000000002</v>
      </c>
      <c r="L210" s="1" t="s">
        <v>166</v>
      </c>
    </row>
    <row r="211" spans="1:12" x14ac:dyDescent="0.25">
      <c r="A211" t="s">
        <v>154</v>
      </c>
      <c r="B211" t="s">
        <v>181</v>
      </c>
      <c r="C211" t="s">
        <v>11</v>
      </c>
      <c r="D211" t="s">
        <v>163</v>
      </c>
      <c r="E211" t="s">
        <v>5</v>
      </c>
      <c r="F211" t="s">
        <v>6</v>
      </c>
      <c r="G211">
        <v>248081</v>
      </c>
      <c r="H211">
        <v>19</v>
      </c>
      <c r="I211" t="s">
        <v>81</v>
      </c>
      <c r="J211" s="9">
        <v>42429</v>
      </c>
      <c r="K211" s="1">
        <v>13056.89474</v>
      </c>
      <c r="L211" s="1" t="s">
        <v>166</v>
      </c>
    </row>
    <row r="212" spans="1:12" x14ac:dyDescent="0.25">
      <c r="A212" t="s">
        <v>154</v>
      </c>
      <c r="B212" t="s">
        <v>181</v>
      </c>
      <c r="C212" t="s">
        <v>192</v>
      </c>
      <c r="D212" t="s">
        <v>162</v>
      </c>
      <c r="E212" t="s">
        <v>5</v>
      </c>
      <c r="F212" t="s">
        <v>6</v>
      </c>
      <c r="G212">
        <v>244877</v>
      </c>
      <c r="H212">
        <v>22</v>
      </c>
      <c r="I212" t="s">
        <v>82</v>
      </c>
      <c r="J212" s="9">
        <v>42426</v>
      </c>
      <c r="K212" s="1">
        <v>11130.772730000001</v>
      </c>
      <c r="L212" s="1" t="s">
        <v>166</v>
      </c>
    </row>
    <row r="213" spans="1:12" x14ac:dyDescent="0.25">
      <c r="A213" t="s">
        <v>154</v>
      </c>
      <c r="B213" t="s">
        <v>181</v>
      </c>
      <c r="C213" t="s">
        <v>124</v>
      </c>
      <c r="D213" t="s">
        <v>162</v>
      </c>
      <c r="E213" t="s">
        <v>5</v>
      </c>
      <c r="F213" t="s">
        <v>6</v>
      </c>
      <c r="G213">
        <v>99115</v>
      </c>
      <c r="H213">
        <v>18</v>
      </c>
      <c r="I213" t="s">
        <v>180</v>
      </c>
      <c r="J213" s="9">
        <v>42429</v>
      </c>
      <c r="K213" s="1">
        <v>5506.3888889999998</v>
      </c>
      <c r="L213" s="1" t="s">
        <v>167</v>
      </c>
    </row>
    <row r="214" spans="1:12" x14ac:dyDescent="0.25">
      <c r="A214" t="s">
        <v>154</v>
      </c>
      <c r="B214" t="s">
        <v>181</v>
      </c>
      <c r="C214" t="s">
        <v>21</v>
      </c>
      <c r="D214" t="s">
        <v>86</v>
      </c>
      <c r="E214" t="s">
        <v>9</v>
      </c>
      <c r="F214" t="s">
        <v>6</v>
      </c>
      <c r="G214">
        <v>80316</v>
      </c>
      <c r="H214">
        <v>21</v>
      </c>
      <c r="I214" t="s">
        <v>180</v>
      </c>
      <c r="J214" s="9">
        <v>42401</v>
      </c>
      <c r="K214" s="1">
        <v>3824.5714290000001</v>
      </c>
      <c r="L214" s="1" t="s">
        <v>167</v>
      </c>
    </row>
    <row r="215" spans="1:12" x14ac:dyDescent="0.25">
      <c r="A215" t="s">
        <v>154</v>
      </c>
      <c r="B215" t="s">
        <v>181</v>
      </c>
      <c r="C215" t="s">
        <v>22</v>
      </c>
      <c r="D215" t="s">
        <v>86</v>
      </c>
      <c r="E215" t="s">
        <v>9</v>
      </c>
      <c r="F215" t="s">
        <v>6</v>
      </c>
      <c r="G215">
        <v>88338</v>
      </c>
      <c r="H215">
        <v>16</v>
      </c>
      <c r="I215" t="s">
        <v>180</v>
      </c>
      <c r="J215" s="9">
        <v>42401</v>
      </c>
      <c r="K215" s="1">
        <v>5521.125</v>
      </c>
      <c r="L215" s="1" t="s">
        <v>167</v>
      </c>
    </row>
    <row r="216" spans="1:12" x14ac:dyDescent="0.25">
      <c r="A216" t="s">
        <v>155</v>
      </c>
      <c r="B216" t="s">
        <v>181</v>
      </c>
      <c r="C216" t="s">
        <v>194</v>
      </c>
      <c r="D216" t="s">
        <v>89</v>
      </c>
      <c r="E216" t="s">
        <v>9</v>
      </c>
      <c r="F216" t="s">
        <v>12</v>
      </c>
      <c r="G216">
        <v>240940</v>
      </c>
      <c r="H216">
        <v>37</v>
      </c>
      <c r="I216" t="s">
        <v>79</v>
      </c>
      <c r="J216" s="9">
        <v>42370</v>
      </c>
      <c r="K216" s="1">
        <v>6511.8918919999996</v>
      </c>
      <c r="L216" s="1" t="s">
        <v>166</v>
      </c>
    </row>
    <row r="217" spans="1:12" x14ac:dyDescent="0.25">
      <c r="A217" t="s">
        <v>155</v>
      </c>
      <c r="B217" t="s">
        <v>181</v>
      </c>
      <c r="C217" t="s">
        <v>190</v>
      </c>
      <c r="D217" t="s">
        <v>87</v>
      </c>
      <c r="E217" t="s">
        <v>9</v>
      </c>
      <c r="F217" t="s">
        <v>12</v>
      </c>
      <c r="G217">
        <v>101844</v>
      </c>
      <c r="H217">
        <v>39</v>
      </c>
      <c r="I217" t="s">
        <v>81</v>
      </c>
      <c r="J217" s="9">
        <v>42370</v>
      </c>
      <c r="K217" s="1">
        <v>2611.3846149999999</v>
      </c>
      <c r="L217" s="1" t="s">
        <v>165</v>
      </c>
    </row>
    <row r="218" spans="1:12" x14ac:dyDescent="0.25">
      <c r="A218" t="s">
        <v>155</v>
      </c>
      <c r="B218" t="s">
        <v>181</v>
      </c>
      <c r="C218" t="s">
        <v>134</v>
      </c>
      <c r="D218" t="s">
        <v>87</v>
      </c>
      <c r="E218" t="s">
        <v>9</v>
      </c>
      <c r="F218" t="s">
        <v>6</v>
      </c>
      <c r="G218">
        <v>129301</v>
      </c>
      <c r="H218">
        <v>38</v>
      </c>
      <c r="I218" t="s">
        <v>81</v>
      </c>
      <c r="J218" s="9">
        <v>42370</v>
      </c>
      <c r="K218" s="1">
        <v>3402.6578949999998</v>
      </c>
      <c r="L218" s="1" t="s">
        <v>165</v>
      </c>
    </row>
    <row r="219" spans="1:12" x14ac:dyDescent="0.25">
      <c r="A219" t="s">
        <v>155</v>
      </c>
      <c r="B219" t="s">
        <v>181</v>
      </c>
      <c r="C219" t="s">
        <v>54</v>
      </c>
      <c r="D219" t="s">
        <v>162</v>
      </c>
      <c r="E219" t="s">
        <v>5</v>
      </c>
      <c r="F219" t="s">
        <v>6</v>
      </c>
      <c r="G219">
        <v>118525</v>
      </c>
      <c r="H219">
        <v>41</v>
      </c>
      <c r="I219" t="s">
        <v>93</v>
      </c>
      <c r="J219" s="9">
        <v>42370</v>
      </c>
      <c r="K219" s="1">
        <v>2890.8536589999999</v>
      </c>
      <c r="L219" s="1" t="s">
        <v>165</v>
      </c>
    </row>
    <row r="220" spans="1:12" x14ac:dyDescent="0.25">
      <c r="A220" t="s">
        <v>156</v>
      </c>
      <c r="B220" t="s">
        <v>181</v>
      </c>
      <c r="C220" t="s">
        <v>77</v>
      </c>
      <c r="D220" t="s">
        <v>162</v>
      </c>
      <c r="E220" t="s">
        <v>5</v>
      </c>
      <c r="F220" t="s">
        <v>6</v>
      </c>
      <c r="G220">
        <v>124304</v>
      </c>
      <c r="H220">
        <v>26</v>
      </c>
      <c r="I220" t="s">
        <v>79</v>
      </c>
      <c r="J220" s="9">
        <v>42370</v>
      </c>
      <c r="K220" s="1">
        <v>4780.9230770000004</v>
      </c>
      <c r="L220" s="1" t="s">
        <v>165</v>
      </c>
    </row>
    <row r="221" spans="1:12" x14ac:dyDescent="0.25">
      <c r="A221" t="s">
        <v>156</v>
      </c>
      <c r="B221" t="s">
        <v>181</v>
      </c>
      <c r="C221" t="s">
        <v>188</v>
      </c>
      <c r="D221" t="s">
        <v>86</v>
      </c>
      <c r="E221" t="s">
        <v>9</v>
      </c>
      <c r="F221" t="s">
        <v>10</v>
      </c>
      <c r="G221">
        <v>59089</v>
      </c>
      <c r="H221">
        <v>32</v>
      </c>
      <c r="I221" t="s">
        <v>82</v>
      </c>
      <c r="J221" s="9">
        <v>42383</v>
      </c>
      <c r="K221" s="1">
        <v>1846.53125</v>
      </c>
      <c r="L221" s="1" t="s">
        <v>167</v>
      </c>
    </row>
    <row r="222" spans="1:12" x14ac:dyDescent="0.25">
      <c r="A222" t="s">
        <v>156</v>
      </c>
      <c r="B222" t="s">
        <v>181</v>
      </c>
      <c r="C222" t="s">
        <v>194</v>
      </c>
      <c r="D222" t="s">
        <v>89</v>
      </c>
      <c r="E222" t="s">
        <v>9</v>
      </c>
      <c r="F222" t="s">
        <v>12</v>
      </c>
      <c r="G222">
        <v>170555</v>
      </c>
      <c r="H222">
        <v>26</v>
      </c>
      <c r="I222" t="s">
        <v>79</v>
      </c>
      <c r="J222" s="9">
        <v>42370</v>
      </c>
      <c r="K222" s="1">
        <v>6559.8076920000003</v>
      </c>
      <c r="L222" s="1" t="s">
        <v>165</v>
      </c>
    </row>
    <row r="223" spans="1:12" x14ac:dyDescent="0.25">
      <c r="A223" t="s">
        <v>156</v>
      </c>
      <c r="B223" t="s">
        <v>181</v>
      </c>
      <c r="C223" t="s">
        <v>134</v>
      </c>
      <c r="D223" t="s">
        <v>87</v>
      </c>
      <c r="E223" t="s">
        <v>9</v>
      </c>
      <c r="F223" t="s">
        <v>6</v>
      </c>
      <c r="G223">
        <v>58257</v>
      </c>
      <c r="H223">
        <v>24</v>
      </c>
      <c r="I223" t="s">
        <v>79</v>
      </c>
      <c r="J223" s="9">
        <v>42370</v>
      </c>
      <c r="K223" s="1">
        <v>2427.375</v>
      </c>
      <c r="L223" s="1" t="s">
        <v>167</v>
      </c>
    </row>
    <row r="224" spans="1:12" x14ac:dyDescent="0.25">
      <c r="A224" t="s">
        <v>156</v>
      </c>
      <c r="B224" t="s">
        <v>181</v>
      </c>
      <c r="C224" t="s">
        <v>122</v>
      </c>
      <c r="D224" t="s">
        <v>162</v>
      </c>
      <c r="E224" t="s">
        <v>5</v>
      </c>
      <c r="F224" t="s">
        <v>6</v>
      </c>
      <c r="G224">
        <v>58438</v>
      </c>
      <c r="H224">
        <v>41</v>
      </c>
      <c r="I224" t="s">
        <v>79</v>
      </c>
      <c r="J224" s="9">
        <v>42370</v>
      </c>
      <c r="K224" s="1">
        <v>1425.3170729999999</v>
      </c>
      <c r="L224" s="1" t="s">
        <v>167</v>
      </c>
    </row>
    <row r="225" spans="1:12" x14ac:dyDescent="0.25">
      <c r="A225" t="s">
        <v>156</v>
      </c>
      <c r="B225" t="s">
        <v>181</v>
      </c>
      <c r="C225" t="s">
        <v>122</v>
      </c>
      <c r="D225" t="s">
        <v>162</v>
      </c>
      <c r="E225" t="s">
        <v>5</v>
      </c>
      <c r="F225" t="s">
        <v>6</v>
      </c>
      <c r="G225">
        <v>211461</v>
      </c>
      <c r="H225">
        <v>33</v>
      </c>
      <c r="I225" t="s">
        <v>79</v>
      </c>
      <c r="J225" s="9">
        <v>42370</v>
      </c>
      <c r="K225" s="1">
        <v>6407.9090910000004</v>
      </c>
      <c r="L225" s="1" t="s">
        <v>166</v>
      </c>
    </row>
    <row r="226" spans="1:12" x14ac:dyDescent="0.25">
      <c r="A226" t="s">
        <v>150</v>
      </c>
      <c r="B226" t="s">
        <v>181</v>
      </c>
      <c r="C226" t="s">
        <v>194</v>
      </c>
      <c r="D226" t="s">
        <v>89</v>
      </c>
      <c r="E226" t="s">
        <v>9</v>
      </c>
      <c r="F226" t="s">
        <v>12</v>
      </c>
      <c r="G226">
        <v>196969</v>
      </c>
      <c r="H226">
        <v>33</v>
      </c>
      <c r="I226" t="s">
        <v>81</v>
      </c>
      <c r="J226" s="9">
        <v>42370</v>
      </c>
      <c r="K226" s="1">
        <v>5968.757576</v>
      </c>
      <c r="L226" s="1" t="s">
        <v>165</v>
      </c>
    </row>
    <row r="227" spans="1:12" x14ac:dyDescent="0.25">
      <c r="A227" t="s">
        <v>150</v>
      </c>
      <c r="B227" t="s">
        <v>181</v>
      </c>
      <c r="C227" t="s">
        <v>122</v>
      </c>
      <c r="D227" t="s">
        <v>162</v>
      </c>
      <c r="E227" t="s">
        <v>5</v>
      </c>
      <c r="F227" t="s">
        <v>6</v>
      </c>
      <c r="G227">
        <v>169308</v>
      </c>
      <c r="H227">
        <v>22</v>
      </c>
      <c r="I227" t="s">
        <v>79</v>
      </c>
      <c r="J227" s="9">
        <v>42370</v>
      </c>
      <c r="K227" s="1">
        <v>7695.818182</v>
      </c>
      <c r="L227" s="1" t="s">
        <v>165</v>
      </c>
    </row>
    <row r="228" spans="1:12" x14ac:dyDescent="0.25">
      <c r="A228" t="s">
        <v>150</v>
      </c>
      <c r="B228" t="s">
        <v>181</v>
      </c>
      <c r="C228" t="s">
        <v>105</v>
      </c>
      <c r="D228" t="s">
        <v>162</v>
      </c>
      <c r="E228" t="s">
        <v>5</v>
      </c>
      <c r="F228" t="s">
        <v>6</v>
      </c>
      <c r="G228">
        <v>135276</v>
      </c>
      <c r="H228">
        <v>26</v>
      </c>
      <c r="I228" t="s">
        <v>81</v>
      </c>
      <c r="J228" s="9">
        <v>42370</v>
      </c>
      <c r="K228" s="1">
        <v>5202.9230770000004</v>
      </c>
      <c r="L228" s="1" t="s">
        <v>165</v>
      </c>
    </row>
    <row r="229" spans="1:12" x14ac:dyDescent="0.25">
      <c r="A229" t="s">
        <v>150</v>
      </c>
      <c r="B229" t="s">
        <v>181</v>
      </c>
      <c r="C229" t="s">
        <v>105</v>
      </c>
      <c r="D229" t="s">
        <v>162</v>
      </c>
      <c r="E229" t="s">
        <v>5</v>
      </c>
      <c r="F229" t="s">
        <v>6</v>
      </c>
      <c r="G229">
        <v>144362</v>
      </c>
      <c r="H229">
        <v>24</v>
      </c>
      <c r="I229" t="s">
        <v>79</v>
      </c>
      <c r="J229" s="9">
        <v>42370</v>
      </c>
      <c r="K229" s="1">
        <v>6015.0833329999996</v>
      </c>
      <c r="L229" s="1" t="s">
        <v>165</v>
      </c>
    </row>
    <row r="230" spans="1:12" x14ac:dyDescent="0.25">
      <c r="A230" t="s">
        <v>150</v>
      </c>
      <c r="B230" t="s">
        <v>181</v>
      </c>
      <c r="C230" t="s">
        <v>194</v>
      </c>
      <c r="D230" t="s">
        <v>89</v>
      </c>
      <c r="E230" t="s">
        <v>9</v>
      </c>
      <c r="F230" t="s">
        <v>12</v>
      </c>
      <c r="G230">
        <v>155833</v>
      </c>
      <c r="H230">
        <v>22</v>
      </c>
      <c r="I230" t="s">
        <v>79</v>
      </c>
      <c r="J230" s="9">
        <v>42370</v>
      </c>
      <c r="K230" s="1">
        <v>7083.318182</v>
      </c>
      <c r="L230" s="1" t="s">
        <v>165</v>
      </c>
    </row>
    <row r="231" spans="1:12" x14ac:dyDescent="0.25">
      <c r="A231" t="s">
        <v>150</v>
      </c>
      <c r="B231" t="s">
        <v>181</v>
      </c>
      <c r="C231" t="s">
        <v>190</v>
      </c>
      <c r="D231" t="s">
        <v>87</v>
      </c>
      <c r="E231" t="s">
        <v>9</v>
      </c>
      <c r="F231" t="s">
        <v>12</v>
      </c>
      <c r="G231">
        <v>177276</v>
      </c>
      <c r="H231">
        <v>26</v>
      </c>
      <c r="I231" t="s">
        <v>180</v>
      </c>
      <c r="J231" s="9">
        <v>42370</v>
      </c>
      <c r="K231" s="1">
        <v>6818.3076920000003</v>
      </c>
      <c r="L231" s="1" t="s">
        <v>165</v>
      </c>
    </row>
    <row r="232" spans="1:12" x14ac:dyDescent="0.25">
      <c r="A232" t="s">
        <v>150</v>
      </c>
      <c r="B232" t="s">
        <v>181</v>
      </c>
      <c r="C232" t="s">
        <v>149</v>
      </c>
      <c r="D232" t="s">
        <v>161</v>
      </c>
      <c r="E232" t="s">
        <v>9</v>
      </c>
      <c r="F232" t="s">
        <v>6</v>
      </c>
      <c r="G232">
        <v>86373</v>
      </c>
      <c r="H232">
        <v>35</v>
      </c>
      <c r="I232" t="s">
        <v>79</v>
      </c>
      <c r="J232" s="9">
        <v>42370</v>
      </c>
      <c r="K232" s="1">
        <v>2467.8000000000002</v>
      </c>
      <c r="L232" s="1" t="s">
        <v>167</v>
      </c>
    </row>
    <row r="233" spans="1:12" x14ac:dyDescent="0.25">
      <c r="A233" t="s">
        <v>150</v>
      </c>
      <c r="B233" t="s">
        <v>181</v>
      </c>
      <c r="C233" t="s">
        <v>122</v>
      </c>
      <c r="D233" t="s">
        <v>162</v>
      </c>
      <c r="E233" t="s">
        <v>5</v>
      </c>
      <c r="F233" t="s">
        <v>6</v>
      </c>
      <c r="G233">
        <v>197645</v>
      </c>
      <c r="H233">
        <v>21</v>
      </c>
      <c r="I233" t="s">
        <v>180</v>
      </c>
      <c r="J233" s="9">
        <v>42370</v>
      </c>
      <c r="K233" s="1">
        <v>9411.6666669999995</v>
      </c>
      <c r="L233" s="1" t="s">
        <v>165</v>
      </c>
    </row>
    <row r="234" spans="1:12" x14ac:dyDescent="0.25">
      <c r="A234" t="s">
        <v>150</v>
      </c>
      <c r="B234" t="s">
        <v>181</v>
      </c>
      <c r="C234" t="s">
        <v>105</v>
      </c>
      <c r="D234" t="s">
        <v>162</v>
      </c>
      <c r="E234" t="s">
        <v>5</v>
      </c>
      <c r="F234" t="s">
        <v>6</v>
      </c>
      <c r="G234">
        <v>146128</v>
      </c>
      <c r="H234">
        <v>19</v>
      </c>
      <c r="I234" t="s">
        <v>81</v>
      </c>
      <c r="J234" s="9">
        <v>42370</v>
      </c>
      <c r="K234" s="1">
        <v>7690.9473680000001</v>
      </c>
      <c r="L234" s="1" t="s">
        <v>165</v>
      </c>
    </row>
    <row r="235" spans="1:12" x14ac:dyDescent="0.25">
      <c r="A235" t="s">
        <v>157</v>
      </c>
      <c r="B235" t="s">
        <v>181</v>
      </c>
      <c r="C235" t="s">
        <v>77</v>
      </c>
      <c r="D235" t="s">
        <v>162</v>
      </c>
      <c r="E235" t="s">
        <v>5</v>
      </c>
      <c r="F235" t="s">
        <v>6</v>
      </c>
      <c r="G235">
        <v>231733</v>
      </c>
      <c r="H235">
        <v>30</v>
      </c>
      <c r="I235" t="s">
        <v>81</v>
      </c>
      <c r="J235" s="9">
        <v>42370</v>
      </c>
      <c r="K235" s="1">
        <v>7724.4333329999999</v>
      </c>
      <c r="L235" s="1" t="s">
        <v>166</v>
      </c>
    </row>
    <row r="236" spans="1:12" x14ac:dyDescent="0.25">
      <c r="A236" t="s">
        <v>157</v>
      </c>
      <c r="B236" t="s">
        <v>181</v>
      </c>
      <c r="C236" t="s">
        <v>194</v>
      </c>
      <c r="D236" t="s">
        <v>89</v>
      </c>
      <c r="E236" t="s">
        <v>9</v>
      </c>
      <c r="F236" t="s">
        <v>12</v>
      </c>
      <c r="G236">
        <v>72186</v>
      </c>
      <c r="H236">
        <v>28</v>
      </c>
      <c r="I236" t="s">
        <v>79</v>
      </c>
      <c r="J236" s="9">
        <v>42370</v>
      </c>
      <c r="K236" s="1">
        <v>2578.0714290000001</v>
      </c>
      <c r="L236" s="1" t="s">
        <v>167</v>
      </c>
    </row>
    <row r="237" spans="1:12" x14ac:dyDescent="0.25">
      <c r="A237" t="s">
        <v>157</v>
      </c>
      <c r="B237" t="s">
        <v>181</v>
      </c>
      <c r="C237" t="s">
        <v>134</v>
      </c>
      <c r="D237" t="s">
        <v>87</v>
      </c>
      <c r="E237" t="s">
        <v>9</v>
      </c>
      <c r="F237" t="s">
        <v>6</v>
      </c>
      <c r="G237">
        <v>217989</v>
      </c>
      <c r="H237">
        <v>17</v>
      </c>
      <c r="I237" t="s">
        <v>79</v>
      </c>
      <c r="J237" s="9">
        <v>42370</v>
      </c>
      <c r="K237" s="1">
        <v>12822.88235</v>
      </c>
      <c r="L237" s="1" t="s">
        <v>166</v>
      </c>
    </row>
    <row r="238" spans="1:12" x14ac:dyDescent="0.25">
      <c r="A238" t="s">
        <v>157</v>
      </c>
      <c r="B238" t="s">
        <v>181</v>
      </c>
      <c r="C238" t="s">
        <v>149</v>
      </c>
      <c r="D238" t="s">
        <v>161</v>
      </c>
      <c r="E238" t="s">
        <v>9</v>
      </c>
      <c r="F238" t="s">
        <v>6</v>
      </c>
      <c r="G238">
        <v>153172</v>
      </c>
      <c r="H238">
        <v>29</v>
      </c>
      <c r="I238" t="s">
        <v>180</v>
      </c>
      <c r="J238" s="9">
        <v>42370</v>
      </c>
      <c r="K238" s="1">
        <v>5281.793103</v>
      </c>
      <c r="L238" s="1" t="s">
        <v>165</v>
      </c>
    </row>
    <row r="239" spans="1:12" x14ac:dyDescent="0.25">
      <c r="A239" t="s">
        <v>157</v>
      </c>
      <c r="B239" t="s">
        <v>181</v>
      </c>
      <c r="C239" t="s">
        <v>149</v>
      </c>
      <c r="D239" t="s">
        <v>161</v>
      </c>
      <c r="E239" t="s">
        <v>9</v>
      </c>
      <c r="F239" t="s">
        <v>6</v>
      </c>
      <c r="G239">
        <v>107859</v>
      </c>
      <c r="H239">
        <v>17</v>
      </c>
      <c r="I239" t="s">
        <v>180</v>
      </c>
      <c r="J239" s="9">
        <v>42370</v>
      </c>
      <c r="K239" s="1">
        <v>6344.6470589999999</v>
      </c>
      <c r="L239" s="1" t="s">
        <v>165</v>
      </c>
    </row>
    <row r="240" spans="1:12" x14ac:dyDescent="0.25">
      <c r="A240" t="s">
        <v>157</v>
      </c>
      <c r="B240" t="s">
        <v>181</v>
      </c>
      <c r="C240" t="s">
        <v>122</v>
      </c>
      <c r="D240" t="s">
        <v>162</v>
      </c>
      <c r="E240" t="s">
        <v>5</v>
      </c>
      <c r="F240" t="s">
        <v>6</v>
      </c>
      <c r="G240">
        <v>54920</v>
      </c>
      <c r="H240">
        <v>15</v>
      </c>
      <c r="I240" t="s">
        <v>79</v>
      </c>
      <c r="J240" s="9">
        <v>42370</v>
      </c>
      <c r="K240" s="1">
        <v>3661.333333</v>
      </c>
      <c r="L240" s="1" t="s">
        <v>167</v>
      </c>
    </row>
    <row r="241" spans="1:12" x14ac:dyDescent="0.25">
      <c r="A241" t="s">
        <v>157</v>
      </c>
      <c r="B241" t="s">
        <v>181</v>
      </c>
      <c r="C241" t="s">
        <v>118</v>
      </c>
      <c r="D241" t="s">
        <v>162</v>
      </c>
      <c r="E241" t="s">
        <v>5</v>
      </c>
      <c r="F241" t="s">
        <v>6</v>
      </c>
      <c r="G241">
        <v>148265</v>
      </c>
      <c r="H241">
        <v>25</v>
      </c>
      <c r="I241" t="s">
        <v>79</v>
      </c>
      <c r="J241" s="9">
        <v>42370</v>
      </c>
      <c r="K241" s="1">
        <v>5930.6</v>
      </c>
      <c r="L241" s="1" t="s">
        <v>165</v>
      </c>
    </row>
    <row r="242" spans="1:12" x14ac:dyDescent="0.25">
      <c r="A242" t="s">
        <v>157</v>
      </c>
      <c r="B242" t="s">
        <v>181</v>
      </c>
      <c r="C242" t="s">
        <v>194</v>
      </c>
      <c r="D242" t="s">
        <v>89</v>
      </c>
      <c r="E242" t="s">
        <v>9</v>
      </c>
      <c r="F242" t="s">
        <v>12</v>
      </c>
      <c r="G242">
        <v>61431</v>
      </c>
      <c r="H242">
        <v>34</v>
      </c>
      <c r="I242" t="s">
        <v>79</v>
      </c>
      <c r="J242" s="9">
        <v>42370</v>
      </c>
      <c r="K242" s="1">
        <v>1806.794118</v>
      </c>
      <c r="L242" s="1" t="s">
        <v>167</v>
      </c>
    </row>
    <row r="243" spans="1:12" x14ac:dyDescent="0.25">
      <c r="A243" t="s">
        <v>157</v>
      </c>
      <c r="B243" t="s">
        <v>181</v>
      </c>
      <c r="C243" t="s">
        <v>194</v>
      </c>
      <c r="D243" t="s">
        <v>89</v>
      </c>
      <c r="E243" t="s">
        <v>9</v>
      </c>
      <c r="F243" t="s">
        <v>12</v>
      </c>
      <c r="G243">
        <v>148488</v>
      </c>
      <c r="H243">
        <v>20</v>
      </c>
      <c r="I243" t="s">
        <v>79</v>
      </c>
      <c r="J243" s="9">
        <v>42370</v>
      </c>
      <c r="K243" s="1">
        <v>7424.4</v>
      </c>
      <c r="L243" s="1" t="s">
        <v>165</v>
      </c>
    </row>
    <row r="244" spans="1:12" x14ac:dyDescent="0.25">
      <c r="A244" t="s">
        <v>157</v>
      </c>
      <c r="B244" t="s">
        <v>181</v>
      </c>
      <c r="C244" t="s">
        <v>141</v>
      </c>
      <c r="D244" t="s">
        <v>163</v>
      </c>
      <c r="E244" t="s">
        <v>5</v>
      </c>
      <c r="F244" t="s">
        <v>6</v>
      </c>
      <c r="G244">
        <v>50104</v>
      </c>
      <c r="H244">
        <v>26</v>
      </c>
      <c r="I244" t="s">
        <v>93</v>
      </c>
      <c r="J244" s="9">
        <v>42398</v>
      </c>
      <c r="K244" s="1">
        <v>1927.0769230000001</v>
      </c>
      <c r="L244" s="1" t="s">
        <v>167</v>
      </c>
    </row>
    <row r="245" spans="1:12" x14ac:dyDescent="0.25">
      <c r="A245" t="s">
        <v>157</v>
      </c>
      <c r="B245" t="s">
        <v>181</v>
      </c>
      <c r="C245" t="s">
        <v>190</v>
      </c>
      <c r="D245" t="s">
        <v>87</v>
      </c>
      <c r="E245" t="s">
        <v>9</v>
      </c>
      <c r="F245" t="s">
        <v>12</v>
      </c>
      <c r="G245">
        <v>126817</v>
      </c>
      <c r="H245">
        <v>41</v>
      </c>
      <c r="I245" t="s">
        <v>81</v>
      </c>
      <c r="J245" s="9">
        <v>42370</v>
      </c>
      <c r="K245" s="1">
        <v>3093.097561</v>
      </c>
      <c r="L245" s="1" t="s">
        <v>165</v>
      </c>
    </row>
    <row r="246" spans="1:12" x14ac:dyDescent="0.25">
      <c r="A246" t="s">
        <v>157</v>
      </c>
      <c r="B246" t="s">
        <v>181</v>
      </c>
      <c r="C246" t="s">
        <v>134</v>
      </c>
      <c r="D246" t="s">
        <v>87</v>
      </c>
      <c r="E246" t="s">
        <v>9</v>
      </c>
      <c r="F246" t="s">
        <v>6</v>
      </c>
      <c r="G246">
        <v>130686</v>
      </c>
      <c r="H246">
        <v>16</v>
      </c>
      <c r="I246" t="s">
        <v>81</v>
      </c>
      <c r="J246" s="9">
        <v>42370</v>
      </c>
      <c r="K246" s="1">
        <v>8167.875</v>
      </c>
      <c r="L246" s="1" t="s">
        <v>165</v>
      </c>
    </row>
    <row r="247" spans="1:12" x14ac:dyDescent="0.25">
      <c r="A247" t="s">
        <v>157</v>
      </c>
      <c r="B247" t="s">
        <v>181</v>
      </c>
      <c r="C247" t="s">
        <v>149</v>
      </c>
      <c r="D247" t="s">
        <v>161</v>
      </c>
      <c r="E247" t="s">
        <v>9</v>
      </c>
      <c r="F247" t="s">
        <v>6</v>
      </c>
      <c r="G247">
        <v>142419</v>
      </c>
      <c r="H247">
        <v>22</v>
      </c>
      <c r="I247" t="s">
        <v>79</v>
      </c>
      <c r="J247" s="9">
        <v>42370</v>
      </c>
      <c r="K247" s="1">
        <v>6473.5909089999996</v>
      </c>
      <c r="L247" s="1" t="s">
        <v>165</v>
      </c>
    </row>
    <row r="248" spans="1:12" x14ac:dyDescent="0.25">
      <c r="A248" t="s">
        <v>157</v>
      </c>
      <c r="B248" t="s">
        <v>181</v>
      </c>
      <c r="C248" t="s">
        <v>190</v>
      </c>
      <c r="D248" t="s">
        <v>87</v>
      </c>
      <c r="E248" t="s">
        <v>9</v>
      </c>
      <c r="F248" t="s">
        <v>12</v>
      </c>
      <c r="G248">
        <v>163063</v>
      </c>
      <c r="H248">
        <v>21</v>
      </c>
      <c r="I248" t="s">
        <v>79</v>
      </c>
      <c r="J248" s="9">
        <v>42370</v>
      </c>
      <c r="K248" s="1">
        <v>7764.9047620000001</v>
      </c>
      <c r="L248" s="1" t="s">
        <v>165</v>
      </c>
    </row>
    <row r="249" spans="1:12" x14ac:dyDescent="0.25">
      <c r="A249" t="s">
        <v>157</v>
      </c>
      <c r="B249" t="s">
        <v>181</v>
      </c>
      <c r="C249" t="s">
        <v>122</v>
      </c>
      <c r="D249" t="s">
        <v>162</v>
      </c>
      <c r="E249" t="s">
        <v>5</v>
      </c>
      <c r="F249" t="s">
        <v>6</v>
      </c>
      <c r="G249">
        <v>118770</v>
      </c>
      <c r="H249">
        <v>37</v>
      </c>
      <c r="I249" t="s">
        <v>79</v>
      </c>
      <c r="J249" s="9">
        <v>42370</v>
      </c>
      <c r="K249" s="1">
        <v>3210</v>
      </c>
      <c r="L249" s="1" t="s">
        <v>165</v>
      </c>
    </row>
    <row r="250" spans="1:12" x14ac:dyDescent="0.25">
      <c r="A250" t="s">
        <v>157</v>
      </c>
      <c r="B250" t="s">
        <v>181</v>
      </c>
      <c r="C250" t="s">
        <v>122</v>
      </c>
      <c r="D250" t="s">
        <v>162</v>
      </c>
      <c r="E250" t="s">
        <v>5</v>
      </c>
      <c r="F250" t="s">
        <v>6</v>
      </c>
      <c r="G250">
        <v>79923</v>
      </c>
      <c r="H250">
        <v>18</v>
      </c>
      <c r="I250" t="s">
        <v>82</v>
      </c>
      <c r="J250" s="9">
        <v>42370</v>
      </c>
      <c r="K250" s="1">
        <v>4440.1666670000004</v>
      </c>
      <c r="L250" s="1" t="s">
        <v>167</v>
      </c>
    </row>
    <row r="251" spans="1:12" x14ac:dyDescent="0.25">
      <c r="A251" t="s">
        <v>157</v>
      </c>
      <c r="B251" t="s">
        <v>181</v>
      </c>
      <c r="C251" t="s">
        <v>122</v>
      </c>
      <c r="D251" t="s">
        <v>162</v>
      </c>
      <c r="E251" t="s">
        <v>5</v>
      </c>
      <c r="F251" t="s">
        <v>6</v>
      </c>
      <c r="G251">
        <v>92676</v>
      </c>
      <c r="H251">
        <v>39</v>
      </c>
      <c r="I251" t="s">
        <v>79</v>
      </c>
      <c r="J251" s="9">
        <v>42370</v>
      </c>
      <c r="K251" s="1">
        <v>2376.3076919999999</v>
      </c>
      <c r="L251" s="1" t="s">
        <v>167</v>
      </c>
    </row>
    <row r="252" spans="1:12" x14ac:dyDescent="0.25">
      <c r="A252" t="s">
        <v>157</v>
      </c>
      <c r="B252" t="s">
        <v>181</v>
      </c>
      <c r="C252" t="s">
        <v>122</v>
      </c>
      <c r="D252" t="s">
        <v>162</v>
      </c>
      <c r="E252" t="s">
        <v>5</v>
      </c>
      <c r="F252" t="s">
        <v>6</v>
      </c>
      <c r="G252">
        <v>198026</v>
      </c>
      <c r="H252">
        <v>37</v>
      </c>
      <c r="I252" t="s">
        <v>81</v>
      </c>
      <c r="J252" s="9">
        <v>42370</v>
      </c>
      <c r="K252" s="1">
        <v>5352.0540540000002</v>
      </c>
      <c r="L252" s="1" t="s">
        <v>165</v>
      </c>
    </row>
    <row r="253" spans="1:12" x14ac:dyDescent="0.25">
      <c r="A253" t="s">
        <v>157</v>
      </c>
      <c r="B253" t="s">
        <v>181</v>
      </c>
      <c r="C253" t="s">
        <v>117</v>
      </c>
      <c r="D253" t="s">
        <v>161</v>
      </c>
      <c r="E253" t="s">
        <v>9</v>
      </c>
      <c r="F253" t="s">
        <v>7</v>
      </c>
      <c r="G253">
        <v>205697</v>
      </c>
      <c r="H253">
        <v>15</v>
      </c>
      <c r="I253" t="s">
        <v>81</v>
      </c>
      <c r="J253" s="9">
        <v>42400</v>
      </c>
      <c r="K253" s="1">
        <v>13713.133330000001</v>
      </c>
      <c r="L253" s="1" t="s">
        <v>166</v>
      </c>
    </row>
    <row r="254" spans="1:12" x14ac:dyDescent="0.25">
      <c r="A254" t="s">
        <v>157</v>
      </c>
      <c r="B254" t="s">
        <v>181</v>
      </c>
      <c r="C254" t="s">
        <v>77</v>
      </c>
      <c r="D254" t="s">
        <v>162</v>
      </c>
      <c r="E254" t="s">
        <v>5</v>
      </c>
      <c r="F254" t="s">
        <v>6</v>
      </c>
      <c r="G254">
        <v>156059</v>
      </c>
      <c r="H254">
        <v>39</v>
      </c>
      <c r="I254" t="s">
        <v>81</v>
      </c>
      <c r="J254" s="9">
        <v>42370</v>
      </c>
      <c r="K254" s="1">
        <v>4001.5128209999998</v>
      </c>
      <c r="L254" s="1" t="s">
        <v>165</v>
      </c>
    </row>
    <row r="255" spans="1:12" x14ac:dyDescent="0.25">
      <c r="A255" t="s">
        <v>157</v>
      </c>
      <c r="B255" t="s">
        <v>181</v>
      </c>
      <c r="C255" t="s">
        <v>134</v>
      </c>
      <c r="D255" t="s">
        <v>87</v>
      </c>
      <c r="E255" t="s">
        <v>9</v>
      </c>
      <c r="F255" t="s">
        <v>6</v>
      </c>
      <c r="G255">
        <v>235504</v>
      </c>
      <c r="H255">
        <v>37</v>
      </c>
      <c r="I255" t="s">
        <v>79</v>
      </c>
      <c r="J255" s="9">
        <v>42370</v>
      </c>
      <c r="K255" s="1">
        <v>6364.9729729999999</v>
      </c>
      <c r="L255" s="1" t="s">
        <v>166</v>
      </c>
    </row>
    <row r="256" spans="1:12" x14ac:dyDescent="0.25">
      <c r="A256" t="s">
        <v>157</v>
      </c>
      <c r="B256" t="s">
        <v>181</v>
      </c>
      <c r="C256" t="s">
        <v>134</v>
      </c>
      <c r="D256" t="s">
        <v>87</v>
      </c>
      <c r="E256" t="s">
        <v>9</v>
      </c>
      <c r="F256" t="s">
        <v>6</v>
      </c>
      <c r="G256">
        <v>178682</v>
      </c>
      <c r="H256">
        <v>37</v>
      </c>
      <c r="I256" t="s">
        <v>79</v>
      </c>
      <c r="J256" s="9">
        <v>42370</v>
      </c>
      <c r="K256" s="1">
        <v>4829.2432429999999</v>
      </c>
      <c r="L256" s="1" t="s">
        <v>165</v>
      </c>
    </row>
    <row r="257" spans="1:12" x14ac:dyDescent="0.25">
      <c r="A257" t="s">
        <v>157</v>
      </c>
      <c r="B257" t="s">
        <v>181</v>
      </c>
      <c r="C257" t="s">
        <v>149</v>
      </c>
      <c r="D257" t="s">
        <v>161</v>
      </c>
      <c r="E257" t="s">
        <v>9</v>
      </c>
      <c r="F257" t="s">
        <v>6</v>
      </c>
      <c r="G257">
        <v>104201</v>
      </c>
      <c r="H257">
        <v>41</v>
      </c>
      <c r="I257" t="s">
        <v>79</v>
      </c>
      <c r="J257" s="9">
        <v>42370</v>
      </c>
      <c r="K257" s="1">
        <v>2541.4878050000002</v>
      </c>
      <c r="L257" s="1" t="s">
        <v>165</v>
      </c>
    </row>
    <row r="258" spans="1:12" x14ac:dyDescent="0.25">
      <c r="A258" t="s">
        <v>157</v>
      </c>
      <c r="B258" t="s">
        <v>181</v>
      </c>
      <c r="C258" t="s">
        <v>149</v>
      </c>
      <c r="D258" t="s">
        <v>161</v>
      </c>
      <c r="E258" t="s">
        <v>9</v>
      </c>
      <c r="F258" t="s">
        <v>6</v>
      </c>
      <c r="G258">
        <v>182312</v>
      </c>
      <c r="H258">
        <v>36</v>
      </c>
      <c r="I258" t="s">
        <v>81</v>
      </c>
      <c r="J258" s="9">
        <v>42370</v>
      </c>
      <c r="K258" s="1">
        <v>5064.2222220000003</v>
      </c>
      <c r="L258" s="1" t="s">
        <v>165</v>
      </c>
    </row>
    <row r="259" spans="1:12" x14ac:dyDescent="0.25">
      <c r="A259" t="s">
        <v>157</v>
      </c>
      <c r="B259" t="s">
        <v>181</v>
      </c>
      <c r="C259" t="s">
        <v>122</v>
      </c>
      <c r="D259" t="s">
        <v>162</v>
      </c>
      <c r="E259" t="s">
        <v>5</v>
      </c>
      <c r="F259" t="s">
        <v>6</v>
      </c>
      <c r="G259">
        <v>70148</v>
      </c>
      <c r="H259">
        <v>27</v>
      </c>
      <c r="I259" t="s">
        <v>82</v>
      </c>
      <c r="J259" s="9">
        <v>42370</v>
      </c>
      <c r="K259" s="1">
        <v>2598.0740740000001</v>
      </c>
      <c r="L259" s="1" t="s">
        <v>167</v>
      </c>
    </row>
    <row r="260" spans="1:12" x14ac:dyDescent="0.25">
      <c r="A260" t="s">
        <v>157</v>
      </c>
      <c r="B260" t="s">
        <v>181</v>
      </c>
      <c r="C260" t="s">
        <v>118</v>
      </c>
      <c r="D260" t="s">
        <v>162</v>
      </c>
      <c r="E260" t="s">
        <v>5</v>
      </c>
      <c r="F260" t="s">
        <v>6</v>
      </c>
      <c r="G260">
        <v>198848</v>
      </c>
      <c r="H260">
        <v>17</v>
      </c>
      <c r="I260" t="s">
        <v>79</v>
      </c>
      <c r="J260" s="9">
        <v>42370</v>
      </c>
      <c r="K260" s="1">
        <v>11696.94118</v>
      </c>
      <c r="L260" s="1" t="s">
        <v>165</v>
      </c>
    </row>
    <row r="261" spans="1:12" x14ac:dyDescent="0.25">
      <c r="A261" t="s">
        <v>157</v>
      </c>
      <c r="B261" t="s">
        <v>181</v>
      </c>
      <c r="C261" t="s">
        <v>118</v>
      </c>
      <c r="D261" t="s">
        <v>162</v>
      </c>
      <c r="E261" t="s">
        <v>5</v>
      </c>
      <c r="F261" t="s">
        <v>6</v>
      </c>
      <c r="G261">
        <v>97839</v>
      </c>
      <c r="H261">
        <v>33</v>
      </c>
      <c r="I261" t="s">
        <v>79</v>
      </c>
      <c r="J261" s="9">
        <v>42370</v>
      </c>
      <c r="K261" s="1">
        <v>2964.818182</v>
      </c>
      <c r="L261" s="1" t="s">
        <v>167</v>
      </c>
    </row>
    <row r="262" spans="1:12" x14ac:dyDescent="0.25">
      <c r="A262" t="s">
        <v>157</v>
      </c>
      <c r="B262" t="s">
        <v>181</v>
      </c>
      <c r="C262" t="s">
        <v>77</v>
      </c>
      <c r="D262" t="s">
        <v>162</v>
      </c>
      <c r="E262" t="s">
        <v>5</v>
      </c>
      <c r="F262" t="s">
        <v>6</v>
      </c>
      <c r="G262">
        <v>216170</v>
      </c>
      <c r="H262">
        <v>41</v>
      </c>
      <c r="I262" t="s">
        <v>81</v>
      </c>
      <c r="J262" s="9">
        <v>42370</v>
      </c>
      <c r="K262" s="1">
        <v>5272.4390240000002</v>
      </c>
      <c r="L262" s="1" t="s">
        <v>166</v>
      </c>
    </row>
    <row r="263" spans="1:12" x14ac:dyDescent="0.25">
      <c r="A263" t="s">
        <v>157</v>
      </c>
      <c r="B263" t="s">
        <v>181</v>
      </c>
      <c r="C263" t="s">
        <v>194</v>
      </c>
      <c r="D263" t="s">
        <v>89</v>
      </c>
      <c r="E263" t="s">
        <v>9</v>
      </c>
      <c r="F263" t="s">
        <v>12</v>
      </c>
      <c r="G263">
        <v>108246</v>
      </c>
      <c r="H263">
        <v>30</v>
      </c>
      <c r="I263" t="s">
        <v>81</v>
      </c>
      <c r="J263" s="9">
        <v>42370</v>
      </c>
      <c r="K263" s="1">
        <v>3608.2</v>
      </c>
      <c r="L263" s="1" t="s">
        <v>165</v>
      </c>
    </row>
    <row r="264" spans="1:12" x14ac:dyDescent="0.25">
      <c r="A264" t="s">
        <v>157</v>
      </c>
      <c r="B264" t="s">
        <v>181</v>
      </c>
      <c r="C264" t="s">
        <v>190</v>
      </c>
      <c r="D264" t="s">
        <v>87</v>
      </c>
      <c r="E264" t="s">
        <v>9</v>
      </c>
      <c r="F264" t="s">
        <v>12</v>
      </c>
      <c r="G264">
        <v>231674</v>
      </c>
      <c r="H264">
        <v>21</v>
      </c>
      <c r="I264" t="s">
        <v>79</v>
      </c>
      <c r="J264" s="9">
        <v>42370</v>
      </c>
      <c r="K264" s="1">
        <v>11032.095240000001</v>
      </c>
      <c r="L264" s="1" t="s">
        <v>166</v>
      </c>
    </row>
    <row r="265" spans="1:12" x14ac:dyDescent="0.25">
      <c r="A265" t="s">
        <v>157</v>
      </c>
      <c r="B265" t="s">
        <v>181</v>
      </c>
      <c r="C265" t="s">
        <v>134</v>
      </c>
      <c r="D265" t="s">
        <v>87</v>
      </c>
      <c r="E265" t="s">
        <v>9</v>
      </c>
      <c r="F265" t="s">
        <v>6</v>
      </c>
      <c r="G265">
        <v>122061</v>
      </c>
      <c r="H265">
        <v>24</v>
      </c>
      <c r="I265" t="s">
        <v>180</v>
      </c>
      <c r="J265" s="9">
        <v>42370</v>
      </c>
      <c r="K265" s="1">
        <v>5085.875</v>
      </c>
      <c r="L265" s="1" t="s">
        <v>165</v>
      </c>
    </row>
    <row r="266" spans="1:12" x14ac:dyDescent="0.25">
      <c r="A266" t="s">
        <v>157</v>
      </c>
      <c r="B266" t="s">
        <v>181</v>
      </c>
      <c r="C266" t="s">
        <v>194</v>
      </c>
      <c r="D266" t="s">
        <v>89</v>
      </c>
      <c r="E266" t="s">
        <v>9</v>
      </c>
      <c r="F266" t="s">
        <v>12</v>
      </c>
      <c r="G266">
        <v>149238</v>
      </c>
      <c r="H266">
        <v>40</v>
      </c>
      <c r="I266" t="s">
        <v>81</v>
      </c>
      <c r="J266" s="9">
        <v>42370</v>
      </c>
      <c r="K266" s="1">
        <v>3730.95</v>
      </c>
      <c r="L266" s="1" t="s">
        <v>165</v>
      </c>
    </row>
    <row r="267" spans="1:12" x14ac:dyDescent="0.25">
      <c r="A267" t="s">
        <v>157</v>
      </c>
      <c r="B267" t="s">
        <v>181</v>
      </c>
      <c r="C267" t="s">
        <v>194</v>
      </c>
      <c r="D267" t="s">
        <v>89</v>
      </c>
      <c r="E267" t="s">
        <v>9</v>
      </c>
      <c r="F267" t="s">
        <v>12</v>
      </c>
      <c r="G267">
        <v>61706</v>
      </c>
      <c r="H267">
        <v>18</v>
      </c>
      <c r="I267" t="s">
        <v>79</v>
      </c>
      <c r="J267" s="9">
        <v>42370</v>
      </c>
      <c r="K267" s="1">
        <v>3428.1111110000002</v>
      </c>
      <c r="L267" s="1" t="s">
        <v>167</v>
      </c>
    </row>
    <row r="268" spans="1:12" x14ac:dyDescent="0.25">
      <c r="A268" t="s">
        <v>157</v>
      </c>
      <c r="B268" t="s">
        <v>181</v>
      </c>
      <c r="C268" t="s">
        <v>190</v>
      </c>
      <c r="D268" t="s">
        <v>87</v>
      </c>
      <c r="E268" t="s">
        <v>9</v>
      </c>
      <c r="F268" t="s">
        <v>12</v>
      </c>
      <c r="G268">
        <v>158075</v>
      </c>
      <c r="H268">
        <v>17</v>
      </c>
      <c r="I268" t="s">
        <v>79</v>
      </c>
      <c r="J268" s="9">
        <v>42370</v>
      </c>
      <c r="K268" s="1">
        <v>9298.5294119999999</v>
      </c>
      <c r="L268" s="1" t="s">
        <v>165</v>
      </c>
    </row>
    <row r="269" spans="1:12" x14ac:dyDescent="0.25">
      <c r="A269" t="s">
        <v>157</v>
      </c>
      <c r="B269" t="s">
        <v>181</v>
      </c>
      <c r="C269" t="s">
        <v>190</v>
      </c>
      <c r="D269" t="s">
        <v>87</v>
      </c>
      <c r="E269" t="s">
        <v>9</v>
      </c>
      <c r="F269" t="s">
        <v>12</v>
      </c>
      <c r="G269">
        <v>187416</v>
      </c>
      <c r="H269">
        <v>32</v>
      </c>
      <c r="I269" t="s">
        <v>79</v>
      </c>
      <c r="J269" s="9">
        <v>42370</v>
      </c>
      <c r="K269" s="1">
        <v>5856.75</v>
      </c>
      <c r="L269" s="1" t="s">
        <v>165</v>
      </c>
    </row>
    <row r="270" spans="1:12" x14ac:dyDescent="0.25">
      <c r="A270" t="s">
        <v>157</v>
      </c>
      <c r="B270" t="s">
        <v>181</v>
      </c>
      <c r="C270" t="s">
        <v>149</v>
      </c>
      <c r="D270" t="s">
        <v>161</v>
      </c>
      <c r="E270" t="s">
        <v>9</v>
      </c>
      <c r="F270" t="s">
        <v>6</v>
      </c>
      <c r="G270">
        <v>156090</v>
      </c>
      <c r="H270">
        <v>23</v>
      </c>
      <c r="I270" t="s">
        <v>79</v>
      </c>
      <c r="J270" s="9">
        <v>42370</v>
      </c>
      <c r="K270" s="1">
        <v>6786.5217389999998</v>
      </c>
      <c r="L270" s="1" t="s">
        <v>165</v>
      </c>
    </row>
    <row r="271" spans="1:12" x14ac:dyDescent="0.25">
      <c r="A271" t="s">
        <v>157</v>
      </c>
      <c r="B271" t="s">
        <v>181</v>
      </c>
      <c r="C271" t="s">
        <v>77</v>
      </c>
      <c r="D271" t="s">
        <v>162</v>
      </c>
      <c r="E271" t="s">
        <v>5</v>
      </c>
      <c r="F271" t="s">
        <v>6</v>
      </c>
      <c r="G271">
        <v>134468</v>
      </c>
      <c r="H271">
        <v>35</v>
      </c>
      <c r="I271" t="s">
        <v>79</v>
      </c>
      <c r="J271" s="9">
        <v>42370</v>
      </c>
      <c r="K271" s="1">
        <v>3841.942857</v>
      </c>
      <c r="L271" s="1" t="s">
        <v>165</v>
      </c>
    </row>
    <row r="272" spans="1:12" x14ac:dyDescent="0.25">
      <c r="A272" t="s">
        <v>157</v>
      </c>
      <c r="B272" t="s">
        <v>181</v>
      </c>
      <c r="C272" t="s">
        <v>77</v>
      </c>
      <c r="D272" t="s">
        <v>162</v>
      </c>
      <c r="E272" t="s">
        <v>5</v>
      </c>
      <c r="F272" t="s">
        <v>6</v>
      </c>
      <c r="G272">
        <v>186335</v>
      </c>
      <c r="H272">
        <v>16</v>
      </c>
      <c r="I272" t="s">
        <v>81</v>
      </c>
      <c r="J272" s="9">
        <v>42370</v>
      </c>
      <c r="K272" s="1">
        <v>11645.9375</v>
      </c>
      <c r="L272" s="1" t="s">
        <v>165</v>
      </c>
    </row>
    <row r="273" spans="1:12" x14ac:dyDescent="0.25">
      <c r="A273" t="s">
        <v>157</v>
      </c>
      <c r="B273" t="s">
        <v>181</v>
      </c>
      <c r="C273" t="s">
        <v>194</v>
      </c>
      <c r="D273" t="s">
        <v>89</v>
      </c>
      <c r="E273" t="s">
        <v>9</v>
      </c>
      <c r="F273" t="s">
        <v>12</v>
      </c>
      <c r="G273">
        <v>54228</v>
      </c>
      <c r="H273">
        <v>37</v>
      </c>
      <c r="I273" t="s">
        <v>82</v>
      </c>
      <c r="J273" s="9">
        <v>42370</v>
      </c>
      <c r="K273" s="1">
        <v>1465.6216219999999</v>
      </c>
      <c r="L273" s="1" t="s">
        <v>167</v>
      </c>
    </row>
    <row r="274" spans="1:12" x14ac:dyDescent="0.25">
      <c r="A274" t="s">
        <v>157</v>
      </c>
      <c r="B274" t="s">
        <v>181</v>
      </c>
      <c r="C274" t="s">
        <v>134</v>
      </c>
      <c r="D274" t="s">
        <v>87</v>
      </c>
      <c r="E274" t="s">
        <v>9</v>
      </c>
      <c r="F274" t="s">
        <v>6</v>
      </c>
      <c r="G274">
        <v>166714</v>
      </c>
      <c r="H274">
        <v>24</v>
      </c>
      <c r="I274" t="s">
        <v>79</v>
      </c>
      <c r="J274" s="9">
        <v>42370</v>
      </c>
      <c r="K274" s="1">
        <v>6946.4166670000004</v>
      </c>
      <c r="L274" s="1" t="s">
        <v>165</v>
      </c>
    </row>
    <row r="275" spans="1:12" x14ac:dyDescent="0.25">
      <c r="A275" t="s">
        <v>151</v>
      </c>
      <c r="B275" t="s">
        <v>181</v>
      </c>
      <c r="C275" t="s">
        <v>122</v>
      </c>
      <c r="D275" t="s">
        <v>162</v>
      </c>
      <c r="E275" t="s">
        <v>5</v>
      </c>
      <c r="F275" t="s">
        <v>6</v>
      </c>
      <c r="G275">
        <v>234301</v>
      </c>
      <c r="H275">
        <v>19</v>
      </c>
      <c r="I275" t="s">
        <v>79</v>
      </c>
      <c r="J275" s="9">
        <v>42370</v>
      </c>
      <c r="K275" s="1">
        <v>12331.631579999999</v>
      </c>
      <c r="L275" s="1" t="s">
        <v>166</v>
      </c>
    </row>
    <row r="276" spans="1:12" x14ac:dyDescent="0.25">
      <c r="A276" t="s">
        <v>151</v>
      </c>
      <c r="B276" t="s">
        <v>181</v>
      </c>
      <c r="C276" t="s">
        <v>122</v>
      </c>
      <c r="D276" t="s">
        <v>162</v>
      </c>
      <c r="E276" t="s">
        <v>5</v>
      </c>
      <c r="F276" t="s">
        <v>6</v>
      </c>
      <c r="G276">
        <v>52351</v>
      </c>
      <c r="H276">
        <v>30</v>
      </c>
      <c r="I276" t="s">
        <v>81</v>
      </c>
      <c r="J276" s="9">
        <v>42370</v>
      </c>
      <c r="K276" s="1">
        <v>1745.0333330000001</v>
      </c>
      <c r="L276" s="1" t="s">
        <v>167</v>
      </c>
    </row>
    <row r="277" spans="1:12" x14ac:dyDescent="0.25">
      <c r="A277" t="s">
        <v>151</v>
      </c>
      <c r="B277" t="s">
        <v>181</v>
      </c>
      <c r="C277" t="s">
        <v>118</v>
      </c>
      <c r="D277" t="s">
        <v>162</v>
      </c>
      <c r="E277" t="s">
        <v>5</v>
      </c>
      <c r="F277" t="s">
        <v>6</v>
      </c>
      <c r="G277">
        <v>227701</v>
      </c>
      <c r="H277">
        <v>37</v>
      </c>
      <c r="I277" t="s">
        <v>180</v>
      </c>
      <c r="J277" s="9">
        <v>42370</v>
      </c>
      <c r="K277" s="1">
        <v>6154.0810810000003</v>
      </c>
      <c r="L277" s="1" t="s">
        <v>166</v>
      </c>
    </row>
    <row r="278" spans="1:12" x14ac:dyDescent="0.25">
      <c r="A278" t="s">
        <v>151</v>
      </c>
      <c r="B278" t="s">
        <v>181</v>
      </c>
      <c r="C278" t="s">
        <v>77</v>
      </c>
      <c r="D278" t="s">
        <v>162</v>
      </c>
      <c r="E278" t="s">
        <v>5</v>
      </c>
      <c r="F278" t="s">
        <v>6</v>
      </c>
      <c r="G278">
        <v>213418</v>
      </c>
      <c r="H278">
        <v>30</v>
      </c>
      <c r="I278" t="s">
        <v>81</v>
      </c>
      <c r="J278" s="9">
        <v>42370</v>
      </c>
      <c r="K278" s="1">
        <v>7113.9333329999999</v>
      </c>
      <c r="L278" s="1" t="s">
        <v>166</v>
      </c>
    </row>
    <row r="279" spans="1:12" x14ac:dyDescent="0.25">
      <c r="A279" t="s">
        <v>151</v>
      </c>
      <c r="B279" t="s">
        <v>181</v>
      </c>
      <c r="C279" t="s">
        <v>194</v>
      </c>
      <c r="D279" t="s">
        <v>89</v>
      </c>
      <c r="E279" t="s">
        <v>9</v>
      </c>
      <c r="F279" t="s">
        <v>12</v>
      </c>
      <c r="G279">
        <v>195357</v>
      </c>
      <c r="H279">
        <v>30</v>
      </c>
      <c r="I279" t="s">
        <v>81</v>
      </c>
      <c r="J279" s="9">
        <v>42370</v>
      </c>
      <c r="K279" s="1">
        <v>6511.9</v>
      </c>
      <c r="L279" s="1" t="s">
        <v>165</v>
      </c>
    </row>
    <row r="280" spans="1:12" x14ac:dyDescent="0.25">
      <c r="A280" t="s">
        <v>151</v>
      </c>
      <c r="B280" t="s">
        <v>181</v>
      </c>
      <c r="C280" t="s">
        <v>194</v>
      </c>
      <c r="D280" t="s">
        <v>89</v>
      </c>
      <c r="E280" t="s">
        <v>9</v>
      </c>
      <c r="F280" t="s">
        <v>12</v>
      </c>
      <c r="G280">
        <v>180157</v>
      </c>
      <c r="H280">
        <v>40</v>
      </c>
      <c r="I280" t="s">
        <v>79</v>
      </c>
      <c r="J280" s="9">
        <v>42370</v>
      </c>
      <c r="K280" s="1">
        <v>4503.9250000000002</v>
      </c>
      <c r="L280" s="1" t="s">
        <v>165</v>
      </c>
    </row>
    <row r="281" spans="1:12" x14ac:dyDescent="0.25">
      <c r="A281" t="s">
        <v>151</v>
      </c>
      <c r="B281" t="s">
        <v>181</v>
      </c>
      <c r="C281" t="s">
        <v>122</v>
      </c>
      <c r="D281" t="s">
        <v>162</v>
      </c>
      <c r="E281" t="s">
        <v>5</v>
      </c>
      <c r="F281" t="s">
        <v>6</v>
      </c>
      <c r="G281">
        <v>83073</v>
      </c>
      <c r="H281">
        <v>28</v>
      </c>
      <c r="I281" t="s">
        <v>81</v>
      </c>
      <c r="J281" s="9">
        <v>42370</v>
      </c>
      <c r="K281" s="1">
        <v>2966.8928569999998</v>
      </c>
      <c r="L281" s="1" t="s">
        <v>167</v>
      </c>
    </row>
    <row r="282" spans="1:12" x14ac:dyDescent="0.25">
      <c r="A282" t="s">
        <v>151</v>
      </c>
      <c r="B282" t="s">
        <v>181</v>
      </c>
      <c r="C282" t="s">
        <v>133</v>
      </c>
      <c r="D282" t="s">
        <v>162</v>
      </c>
      <c r="E282" t="s">
        <v>5</v>
      </c>
      <c r="F282" t="s">
        <v>6</v>
      </c>
      <c r="G282">
        <v>183188</v>
      </c>
      <c r="H282">
        <v>23</v>
      </c>
      <c r="I282" t="s">
        <v>93</v>
      </c>
      <c r="J282" s="9">
        <v>42398</v>
      </c>
      <c r="K282" s="1">
        <v>7964.6956520000003</v>
      </c>
      <c r="L282" s="1" t="s">
        <v>165</v>
      </c>
    </row>
    <row r="283" spans="1:12" x14ac:dyDescent="0.25">
      <c r="A283" t="s">
        <v>151</v>
      </c>
      <c r="B283" t="s">
        <v>181</v>
      </c>
      <c r="C283" t="s">
        <v>194</v>
      </c>
      <c r="D283" t="s">
        <v>89</v>
      </c>
      <c r="E283" t="s">
        <v>9</v>
      </c>
      <c r="F283" t="s">
        <v>12</v>
      </c>
      <c r="G283">
        <v>137884</v>
      </c>
      <c r="H283">
        <v>29</v>
      </c>
      <c r="I283" t="s">
        <v>79</v>
      </c>
      <c r="J283" s="9">
        <v>42370</v>
      </c>
      <c r="K283" s="1">
        <v>4754.6206899999997</v>
      </c>
      <c r="L283" s="1" t="s">
        <v>165</v>
      </c>
    </row>
    <row r="284" spans="1:12" x14ac:dyDescent="0.25">
      <c r="A284" t="s">
        <v>151</v>
      </c>
      <c r="B284" t="s">
        <v>181</v>
      </c>
      <c r="C284" t="s">
        <v>149</v>
      </c>
      <c r="D284" t="s">
        <v>161</v>
      </c>
      <c r="E284" t="s">
        <v>9</v>
      </c>
      <c r="F284" t="s">
        <v>6</v>
      </c>
      <c r="G284">
        <v>141610</v>
      </c>
      <c r="H284">
        <v>15</v>
      </c>
      <c r="I284" t="s">
        <v>79</v>
      </c>
      <c r="J284" s="9">
        <v>42370</v>
      </c>
      <c r="K284" s="1">
        <v>9440.6666669999995</v>
      </c>
      <c r="L284" s="1" t="s">
        <v>165</v>
      </c>
    </row>
    <row r="285" spans="1:12" x14ac:dyDescent="0.25">
      <c r="A285" t="s">
        <v>151</v>
      </c>
      <c r="B285" t="s">
        <v>181</v>
      </c>
      <c r="C285" t="s">
        <v>122</v>
      </c>
      <c r="D285" t="s">
        <v>162</v>
      </c>
      <c r="E285" t="s">
        <v>5</v>
      </c>
      <c r="F285" t="s">
        <v>6</v>
      </c>
      <c r="G285">
        <v>123546</v>
      </c>
      <c r="H285">
        <v>41</v>
      </c>
      <c r="I285" t="s">
        <v>81</v>
      </c>
      <c r="J285" s="9">
        <v>42370</v>
      </c>
      <c r="K285" s="1">
        <v>3013.3170730000002</v>
      </c>
      <c r="L285" s="1" t="s">
        <v>165</v>
      </c>
    </row>
    <row r="286" spans="1:12" x14ac:dyDescent="0.25">
      <c r="A286" t="s">
        <v>151</v>
      </c>
      <c r="B286" t="s">
        <v>181</v>
      </c>
      <c r="C286" t="s">
        <v>118</v>
      </c>
      <c r="D286" t="s">
        <v>162</v>
      </c>
      <c r="E286" t="s">
        <v>5</v>
      </c>
      <c r="F286" t="s">
        <v>6</v>
      </c>
      <c r="G286">
        <v>68964</v>
      </c>
      <c r="H286">
        <v>18</v>
      </c>
      <c r="I286" t="s">
        <v>81</v>
      </c>
      <c r="J286" s="9">
        <v>42370</v>
      </c>
      <c r="K286" s="1">
        <v>3831.333333</v>
      </c>
      <c r="L286" s="1" t="s">
        <v>167</v>
      </c>
    </row>
    <row r="287" spans="1:12" x14ac:dyDescent="0.25">
      <c r="A287" t="s">
        <v>151</v>
      </c>
      <c r="B287" t="s">
        <v>181</v>
      </c>
      <c r="C287" t="s">
        <v>77</v>
      </c>
      <c r="D287" t="s">
        <v>162</v>
      </c>
      <c r="E287" t="s">
        <v>5</v>
      </c>
      <c r="F287" t="s">
        <v>6</v>
      </c>
      <c r="G287">
        <v>183631</v>
      </c>
      <c r="H287">
        <v>16</v>
      </c>
      <c r="I287" t="s">
        <v>79</v>
      </c>
      <c r="J287" s="9">
        <v>42370</v>
      </c>
      <c r="K287" s="1">
        <v>11476.9375</v>
      </c>
      <c r="L287" s="1" t="s">
        <v>165</v>
      </c>
    </row>
    <row r="288" spans="1:12" x14ac:dyDescent="0.25">
      <c r="A288" t="s">
        <v>151</v>
      </c>
      <c r="B288" t="s">
        <v>181</v>
      </c>
      <c r="C288" t="s">
        <v>190</v>
      </c>
      <c r="D288" t="s">
        <v>87</v>
      </c>
      <c r="E288" t="s">
        <v>9</v>
      </c>
      <c r="F288" t="s">
        <v>12</v>
      </c>
      <c r="G288">
        <v>163096</v>
      </c>
      <c r="H288">
        <v>30</v>
      </c>
      <c r="I288" t="s">
        <v>81</v>
      </c>
      <c r="J288" s="9">
        <v>42370</v>
      </c>
      <c r="K288" s="1">
        <v>5436.5333330000003</v>
      </c>
      <c r="L288" s="1" t="s">
        <v>165</v>
      </c>
    </row>
    <row r="289" spans="1:12" x14ac:dyDescent="0.25">
      <c r="A289" t="s">
        <v>151</v>
      </c>
      <c r="B289" t="s">
        <v>181</v>
      </c>
      <c r="C289" t="s">
        <v>134</v>
      </c>
      <c r="D289" t="s">
        <v>87</v>
      </c>
      <c r="E289" t="s">
        <v>9</v>
      </c>
      <c r="F289" t="s">
        <v>6</v>
      </c>
      <c r="G289">
        <v>89022</v>
      </c>
      <c r="H289">
        <v>38</v>
      </c>
      <c r="I289" t="s">
        <v>79</v>
      </c>
      <c r="J289" s="9">
        <v>42370</v>
      </c>
      <c r="K289" s="1">
        <v>2342.6842109999998</v>
      </c>
      <c r="L289" s="1" t="s">
        <v>167</v>
      </c>
    </row>
    <row r="290" spans="1:12" x14ac:dyDescent="0.25">
      <c r="A290" t="s">
        <v>151</v>
      </c>
      <c r="B290" t="s">
        <v>181</v>
      </c>
      <c r="C290" t="s">
        <v>122</v>
      </c>
      <c r="D290" t="s">
        <v>162</v>
      </c>
      <c r="E290" t="s">
        <v>5</v>
      </c>
      <c r="F290" t="s">
        <v>6</v>
      </c>
      <c r="G290">
        <v>249750</v>
      </c>
      <c r="H290">
        <v>41</v>
      </c>
      <c r="I290" t="s">
        <v>81</v>
      </c>
      <c r="J290" s="9">
        <v>42370</v>
      </c>
      <c r="K290" s="1">
        <v>6091.4634150000002</v>
      </c>
      <c r="L290" s="1" t="s">
        <v>166</v>
      </c>
    </row>
    <row r="291" spans="1:12" x14ac:dyDescent="0.25">
      <c r="A291" t="s">
        <v>151</v>
      </c>
      <c r="B291" t="s">
        <v>181</v>
      </c>
      <c r="C291" t="s">
        <v>118</v>
      </c>
      <c r="D291" t="s">
        <v>162</v>
      </c>
      <c r="E291" t="s">
        <v>5</v>
      </c>
      <c r="F291" t="s">
        <v>6</v>
      </c>
      <c r="G291">
        <v>87679</v>
      </c>
      <c r="H291">
        <v>18</v>
      </c>
      <c r="I291" t="s">
        <v>81</v>
      </c>
      <c r="J291" s="9">
        <v>42370</v>
      </c>
      <c r="K291" s="1">
        <v>4871.0555560000003</v>
      </c>
      <c r="L291" s="1" t="s">
        <v>167</v>
      </c>
    </row>
    <row r="292" spans="1:12" x14ac:dyDescent="0.25">
      <c r="A292" t="s">
        <v>151</v>
      </c>
      <c r="B292" t="s">
        <v>181</v>
      </c>
      <c r="C292" t="s">
        <v>134</v>
      </c>
      <c r="D292" t="s">
        <v>87</v>
      </c>
      <c r="E292" t="s">
        <v>9</v>
      </c>
      <c r="F292" t="s">
        <v>6</v>
      </c>
      <c r="G292">
        <v>154630</v>
      </c>
      <c r="H292">
        <v>41</v>
      </c>
      <c r="I292" t="s">
        <v>79</v>
      </c>
      <c r="J292" s="9">
        <v>42370</v>
      </c>
      <c r="K292" s="1">
        <v>3771.4634150000002</v>
      </c>
      <c r="L292" s="1" t="s">
        <v>165</v>
      </c>
    </row>
    <row r="293" spans="1:12" x14ac:dyDescent="0.25">
      <c r="A293" t="s">
        <v>151</v>
      </c>
      <c r="B293" t="s">
        <v>181</v>
      </c>
      <c r="C293" t="s">
        <v>194</v>
      </c>
      <c r="D293" t="s">
        <v>89</v>
      </c>
      <c r="E293" t="s">
        <v>9</v>
      </c>
      <c r="F293" t="s">
        <v>12</v>
      </c>
      <c r="G293">
        <v>152322</v>
      </c>
      <c r="H293">
        <v>16</v>
      </c>
      <c r="I293" t="s">
        <v>180</v>
      </c>
      <c r="J293" s="9">
        <v>42370</v>
      </c>
      <c r="K293" s="1">
        <v>9520.125</v>
      </c>
      <c r="L293" s="1" t="s">
        <v>165</v>
      </c>
    </row>
    <row r="294" spans="1:12" x14ac:dyDescent="0.25">
      <c r="A294" t="s">
        <v>151</v>
      </c>
      <c r="B294" t="s">
        <v>181</v>
      </c>
      <c r="C294" t="s">
        <v>122</v>
      </c>
      <c r="D294" t="s">
        <v>162</v>
      </c>
      <c r="E294" t="s">
        <v>5</v>
      </c>
      <c r="F294" t="s">
        <v>6</v>
      </c>
      <c r="G294">
        <v>96346</v>
      </c>
      <c r="H294">
        <v>34</v>
      </c>
      <c r="I294" t="s">
        <v>81</v>
      </c>
      <c r="J294" s="9">
        <v>42370</v>
      </c>
      <c r="K294" s="1">
        <v>2833.7058820000002</v>
      </c>
      <c r="L294" s="1" t="s">
        <v>167</v>
      </c>
    </row>
    <row r="295" spans="1:12" x14ac:dyDescent="0.25">
      <c r="A295" t="s">
        <v>151</v>
      </c>
      <c r="B295" t="s">
        <v>181</v>
      </c>
      <c r="C295" t="s">
        <v>77</v>
      </c>
      <c r="D295" t="s">
        <v>162</v>
      </c>
      <c r="E295" t="s">
        <v>5</v>
      </c>
      <c r="F295" t="s">
        <v>6</v>
      </c>
      <c r="G295">
        <v>73926</v>
      </c>
      <c r="H295">
        <v>40</v>
      </c>
      <c r="I295" t="s">
        <v>79</v>
      </c>
      <c r="J295" s="9">
        <v>42370</v>
      </c>
      <c r="K295" s="1">
        <v>1848.15</v>
      </c>
      <c r="L295" s="1" t="s">
        <v>167</v>
      </c>
    </row>
    <row r="296" spans="1:12" x14ac:dyDescent="0.25">
      <c r="A296" t="s">
        <v>151</v>
      </c>
      <c r="B296" t="s">
        <v>181</v>
      </c>
      <c r="C296" t="s">
        <v>77</v>
      </c>
      <c r="D296" t="s">
        <v>162</v>
      </c>
      <c r="E296" t="s">
        <v>5</v>
      </c>
      <c r="F296" t="s">
        <v>6</v>
      </c>
      <c r="G296">
        <v>94709</v>
      </c>
      <c r="H296">
        <v>26</v>
      </c>
      <c r="I296" t="s">
        <v>82</v>
      </c>
      <c r="J296" s="9">
        <v>42370</v>
      </c>
      <c r="K296" s="1">
        <v>3642.6538460000002</v>
      </c>
      <c r="L296" s="1" t="s">
        <v>167</v>
      </c>
    </row>
    <row r="297" spans="1:12" x14ac:dyDescent="0.25">
      <c r="A297" t="s">
        <v>151</v>
      </c>
      <c r="B297" t="s">
        <v>181</v>
      </c>
      <c r="C297" t="s">
        <v>194</v>
      </c>
      <c r="D297" t="s">
        <v>89</v>
      </c>
      <c r="E297" t="s">
        <v>9</v>
      </c>
      <c r="F297" t="s">
        <v>12</v>
      </c>
      <c r="G297">
        <v>141717</v>
      </c>
      <c r="H297">
        <v>15</v>
      </c>
      <c r="I297" t="s">
        <v>81</v>
      </c>
      <c r="J297" s="9">
        <v>42370</v>
      </c>
      <c r="K297" s="1">
        <v>9447.7999999999993</v>
      </c>
      <c r="L297" s="1" t="s">
        <v>165</v>
      </c>
    </row>
    <row r="298" spans="1:12" x14ac:dyDescent="0.25">
      <c r="A298" t="s">
        <v>151</v>
      </c>
      <c r="B298" t="s">
        <v>181</v>
      </c>
      <c r="C298" t="s">
        <v>134</v>
      </c>
      <c r="D298" t="s">
        <v>87</v>
      </c>
      <c r="E298" t="s">
        <v>9</v>
      </c>
      <c r="F298" t="s">
        <v>6</v>
      </c>
      <c r="G298">
        <v>64719</v>
      </c>
      <c r="H298">
        <v>31</v>
      </c>
      <c r="I298" t="s">
        <v>79</v>
      </c>
      <c r="J298" s="9">
        <v>42370</v>
      </c>
      <c r="K298" s="1">
        <v>2087.7096769999998</v>
      </c>
      <c r="L298" s="1" t="s">
        <v>167</v>
      </c>
    </row>
    <row r="299" spans="1:12" x14ac:dyDescent="0.25">
      <c r="A299" t="s">
        <v>151</v>
      </c>
      <c r="B299" t="s">
        <v>181</v>
      </c>
      <c r="C299" t="s">
        <v>134</v>
      </c>
      <c r="D299" t="s">
        <v>87</v>
      </c>
      <c r="E299" t="s">
        <v>9</v>
      </c>
      <c r="F299" t="s">
        <v>6</v>
      </c>
      <c r="G299">
        <v>70601</v>
      </c>
      <c r="H299">
        <v>42</v>
      </c>
      <c r="I299" t="s">
        <v>180</v>
      </c>
      <c r="J299" s="9">
        <v>42370</v>
      </c>
      <c r="K299" s="1">
        <v>1680.9761900000001</v>
      </c>
      <c r="L299" s="1" t="s">
        <v>167</v>
      </c>
    </row>
    <row r="300" spans="1:12" x14ac:dyDescent="0.25">
      <c r="A300" t="s">
        <v>151</v>
      </c>
      <c r="B300" t="s">
        <v>181</v>
      </c>
      <c r="C300" t="s">
        <v>24</v>
      </c>
      <c r="D300" t="s">
        <v>162</v>
      </c>
      <c r="E300" t="s">
        <v>5</v>
      </c>
      <c r="F300" t="s">
        <v>6</v>
      </c>
      <c r="G300">
        <v>172731</v>
      </c>
      <c r="H300">
        <v>20</v>
      </c>
      <c r="I300" t="s">
        <v>93</v>
      </c>
      <c r="J300" s="9">
        <v>42398</v>
      </c>
      <c r="K300" s="1">
        <v>8636.5499999999993</v>
      </c>
      <c r="L300" s="1" t="s">
        <v>165</v>
      </c>
    </row>
    <row r="301" spans="1:12" x14ac:dyDescent="0.25">
      <c r="A301" t="s">
        <v>152</v>
      </c>
      <c r="B301" t="s">
        <v>181</v>
      </c>
      <c r="C301" t="s">
        <v>77</v>
      </c>
      <c r="D301" t="s">
        <v>162</v>
      </c>
      <c r="E301" t="s">
        <v>5</v>
      </c>
      <c r="F301" t="s">
        <v>6</v>
      </c>
      <c r="G301">
        <v>158478</v>
      </c>
      <c r="H301">
        <v>32</v>
      </c>
      <c r="I301" t="s">
        <v>79</v>
      </c>
      <c r="J301" s="9">
        <v>42370</v>
      </c>
      <c r="K301" s="1">
        <v>4952.4375</v>
      </c>
      <c r="L301" s="1" t="s">
        <v>165</v>
      </c>
    </row>
    <row r="302" spans="1:12" x14ac:dyDescent="0.25">
      <c r="A302" t="s">
        <v>152</v>
      </c>
      <c r="B302" t="s">
        <v>181</v>
      </c>
      <c r="C302" t="s">
        <v>194</v>
      </c>
      <c r="D302" t="s">
        <v>89</v>
      </c>
      <c r="E302" t="s">
        <v>9</v>
      </c>
      <c r="F302" t="s">
        <v>12</v>
      </c>
      <c r="G302">
        <v>188219</v>
      </c>
      <c r="H302">
        <v>42</v>
      </c>
      <c r="I302" t="s">
        <v>81</v>
      </c>
      <c r="J302" s="9">
        <v>42370</v>
      </c>
      <c r="K302" s="1">
        <v>4481.4047620000001</v>
      </c>
      <c r="L302" s="1" t="s">
        <v>165</v>
      </c>
    </row>
    <row r="303" spans="1:12" x14ac:dyDescent="0.25">
      <c r="A303" t="s">
        <v>152</v>
      </c>
      <c r="B303" t="s">
        <v>181</v>
      </c>
      <c r="C303" t="s">
        <v>149</v>
      </c>
      <c r="D303" t="s">
        <v>161</v>
      </c>
      <c r="E303" t="s">
        <v>9</v>
      </c>
      <c r="F303" t="s">
        <v>6</v>
      </c>
      <c r="G303">
        <v>98533</v>
      </c>
      <c r="H303">
        <v>39</v>
      </c>
      <c r="I303" t="s">
        <v>81</v>
      </c>
      <c r="J303" s="9">
        <v>42370</v>
      </c>
      <c r="K303" s="1">
        <v>2526.4871790000002</v>
      </c>
      <c r="L303" s="1" t="s">
        <v>167</v>
      </c>
    </row>
    <row r="304" spans="1:12" x14ac:dyDescent="0.25">
      <c r="A304" t="s">
        <v>152</v>
      </c>
      <c r="B304" t="s">
        <v>181</v>
      </c>
      <c r="C304" t="s">
        <v>122</v>
      </c>
      <c r="D304" t="s">
        <v>162</v>
      </c>
      <c r="E304" t="s">
        <v>5</v>
      </c>
      <c r="F304" t="s">
        <v>6</v>
      </c>
      <c r="G304">
        <v>230646</v>
      </c>
      <c r="H304">
        <v>31</v>
      </c>
      <c r="I304" t="s">
        <v>79</v>
      </c>
      <c r="J304" s="9">
        <v>42370</v>
      </c>
      <c r="K304" s="1">
        <v>7440.1935480000002</v>
      </c>
      <c r="L304" s="1" t="s">
        <v>166</v>
      </c>
    </row>
    <row r="305" spans="1:12" x14ac:dyDescent="0.25">
      <c r="A305" t="s">
        <v>152</v>
      </c>
      <c r="B305" t="s">
        <v>181</v>
      </c>
      <c r="C305" t="s">
        <v>118</v>
      </c>
      <c r="D305" t="s">
        <v>162</v>
      </c>
      <c r="E305" t="s">
        <v>5</v>
      </c>
      <c r="F305" t="s">
        <v>6</v>
      </c>
      <c r="G305">
        <v>78654</v>
      </c>
      <c r="H305">
        <v>31</v>
      </c>
      <c r="I305" t="s">
        <v>81</v>
      </c>
      <c r="J305" s="9">
        <v>42370</v>
      </c>
      <c r="K305" s="1">
        <v>2537.2258059999999</v>
      </c>
      <c r="L305" s="1" t="s">
        <v>167</v>
      </c>
    </row>
    <row r="306" spans="1:12" x14ac:dyDescent="0.25">
      <c r="A306" t="s">
        <v>152</v>
      </c>
      <c r="B306" t="s">
        <v>181</v>
      </c>
      <c r="C306" t="s">
        <v>77</v>
      </c>
      <c r="D306" t="s">
        <v>162</v>
      </c>
      <c r="E306" t="s">
        <v>5</v>
      </c>
      <c r="F306" t="s">
        <v>6</v>
      </c>
      <c r="G306">
        <v>117451</v>
      </c>
      <c r="H306">
        <v>38</v>
      </c>
      <c r="I306" t="s">
        <v>79</v>
      </c>
      <c r="J306" s="9">
        <v>42370</v>
      </c>
      <c r="K306" s="1">
        <v>3090.8157890000002</v>
      </c>
      <c r="L306" s="1" t="s">
        <v>165</v>
      </c>
    </row>
    <row r="307" spans="1:12" x14ac:dyDescent="0.25">
      <c r="A307" t="s">
        <v>152</v>
      </c>
      <c r="B307" t="s">
        <v>181</v>
      </c>
      <c r="C307" t="s">
        <v>194</v>
      </c>
      <c r="D307" t="s">
        <v>89</v>
      </c>
      <c r="E307" t="s">
        <v>9</v>
      </c>
      <c r="F307" t="s">
        <v>12</v>
      </c>
      <c r="G307">
        <v>204922</v>
      </c>
      <c r="H307">
        <v>15</v>
      </c>
      <c r="I307" t="s">
        <v>81</v>
      </c>
      <c r="J307" s="9">
        <v>42370</v>
      </c>
      <c r="K307" s="1">
        <v>13661.46667</v>
      </c>
      <c r="L307" s="1" t="s">
        <v>166</v>
      </c>
    </row>
    <row r="308" spans="1:12" x14ac:dyDescent="0.25">
      <c r="A308" t="s">
        <v>152</v>
      </c>
      <c r="B308" t="s">
        <v>181</v>
      </c>
      <c r="C308" t="s">
        <v>149</v>
      </c>
      <c r="D308" t="s">
        <v>161</v>
      </c>
      <c r="E308" t="s">
        <v>9</v>
      </c>
      <c r="F308" t="s">
        <v>6</v>
      </c>
      <c r="G308">
        <v>53585</v>
      </c>
      <c r="H308">
        <v>17</v>
      </c>
      <c r="I308" t="s">
        <v>79</v>
      </c>
      <c r="J308" s="9">
        <v>42370</v>
      </c>
      <c r="K308" s="1">
        <v>3152.0588240000002</v>
      </c>
      <c r="L308" s="1" t="s">
        <v>167</v>
      </c>
    </row>
    <row r="309" spans="1:12" x14ac:dyDescent="0.25">
      <c r="A309" t="s">
        <v>152</v>
      </c>
      <c r="B309" t="s">
        <v>181</v>
      </c>
      <c r="C309" t="s">
        <v>134</v>
      </c>
      <c r="D309" t="s">
        <v>87</v>
      </c>
      <c r="E309" t="s">
        <v>9</v>
      </c>
      <c r="F309" t="s">
        <v>6</v>
      </c>
      <c r="G309">
        <v>78911</v>
      </c>
      <c r="H309">
        <v>36</v>
      </c>
      <c r="I309" t="s">
        <v>180</v>
      </c>
      <c r="J309" s="9">
        <v>42370</v>
      </c>
      <c r="K309" s="1">
        <v>2191.9722219999999</v>
      </c>
      <c r="L309" s="1" t="s">
        <v>167</v>
      </c>
    </row>
    <row r="310" spans="1:12" x14ac:dyDescent="0.25">
      <c r="A310" t="s">
        <v>152</v>
      </c>
      <c r="B310" t="s">
        <v>181</v>
      </c>
      <c r="C310" t="s">
        <v>190</v>
      </c>
      <c r="D310" t="s">
        <v>87</v>
      </c>
      <c r="E310" t="s">
        <v>9</v>
      </c>
      <c r="F310" t="s">
        <v>12</v>
      </c>
      <c r="G310">
        <v>172360</v>
      </c>
      <c r="H310">
        <v>32</v>
      </c>
      <c r="I310" t="s">
        <v>81</v>
      </c>
      <c r="J310" s="9">
        <v>42370</v>
      </c>
      <c r="K310" s="1">
        <v>5386.25</v>
      </c>
      <c r="L310" s="1" t="s">
        <v>165</v>
      </c>
    </row>
    <row r="311" spans="1:12" x14ac:dyDescent="0.25">
      <c r="A311" t="s">
        <v>152</v>
      </c>
      <c r="B311" t="s">
        <v>181</v>
      </c>
      <c r="C311" t="s">
        <v>122</v>
      </c>
      <c r="D311" t="s">
        <v>162</v>
      </c>
      <c r="E311" t="s">
        <v>5</v>
      </c>
      <c r="F311" t="s">
        <v>6</v>
      </c>
      <c r="G311">
        <v>55872</v>
      </c>
      <c r="H311">
        <v>24</v>
      </c>
      <c r="I311" t="s">
        <v>79</v>
      </c>
      <c r="J311" s="9">
        <v>42370</v>
      </c>
      <c r="K311" s="1">
        <v>2328</v>
      </c>
      <c r="L311" s="1" t="s">
        <v>167</v>
      </c>
    </row>
    <row r="312" spans="1:12" x14ac:dyDescent="0.25">
      <c r="A312" t="s">
        <v>152</v>
      </c>
      <c r="B312" t="s">
        <v>181</v>
      </c>
      <c r="C312" t="s">
        <v>118</v>
      </c>
      <c r="D312" t="s">
        <v>162</v>
      </c>
      <c r="E312" t="s">
        <v>5</v>
      </c>
      <c r="F312" t="s">
        <v>6</v>
      </c>
      <c r="G312">
        <v>90516</v>
      </c>
      <c r="H312">
        <v>30</v>
      </c>
      <c r="I312" t="s">
        <v>82</v>
      </c>
      <c r="J312" s="9">
        <v>42370</v>
      </c>
      <c r="K312" s="1">
        <v>3017.2</v>
      </c>
      <c r="L312" s="1" t="s">
        <v>167</v>
      </c>
    </row>
    <row r="313" spans="1:12" x14ac:dyDescent="0.25">
      <c r="A313" t="s">
        <v>152</v>
      </c>
      <c r="B313" t="s">
        <v>181</v>
      </c>
      <c r="C313" t="s">
        <v>118</v>
      </c>
      <c r="D313" t="s">
        <v>162</v>
      </c>
      <c r="E313" t="s">
        <v>5</v>
      </c>
      <c r="F313" t="s">
        <v>6</v>
      </c>
      <c r="G313">
        <v>170452</v>
      </c>
      <c r="H313">
        <v>30</v>
      </c>
      <c r="I313" t="s">
        <v>79</v>
      </c>
      <c r="J313" s="9">
        <v>42370</v>
      </c>
      <c r="K313" s="1">
        <v>5681.7333330000001</v>
      </c>
      <c r="L313" s="1" t="s">
        <v>165</v>
      </c>
    </row>
    <row r="314" spans="1:12" x14ac:dyDescent="0.25">
      <c r="A314" t="s">
        <v>152</v>
      </c>
      <c r="B314" t="s">
        <v>181</v>
      </c>
      <c r="C314" t="s">
        <v>118</v>
      </c>
      <c r="D314" t="s">
        <v>162</v>
      </c>
      <c r="E314" t="s">
        <v>5</v>
      </c>
      <c r="F314" t="s">
        <v>6</v>
      </c>
      <c r="G314">
        <v>194532</v>
      </c>
      <c r="H314">
        <v>30</v>
      </c>
      <c r="I314" t="s">
        <v>81</v>
      </c>
      <c r="J314" s="9">
        <v>42370</v>
      </c>
      <c r="K314" s="1">
        <v>6484.4</v>
      </c>
      <c r="L314" s="1" t="s">
        <v>165</v>
      </c>
    </row>
    <row r="315" spans="1:12" x14ac:dyDescent="0.25">
      <c r="A315" t="s">
        <v>153</v>
      </c>
      <c r="B315" t="s">
        <v>181</v>
      </c>
      <c r="C315" t="s">
        <v>77</v>
      </c>
      <c r="D315" t="s">
        <v>162</v>
      </c>
      <c r="E315" t="s">
        <v>5</v>
      </c>
      <c r="F315" t="s">
        <v>6</v>
      </c>
      <c r="G315">
        <v>105052</v>
      </c>
      <c r="H315">
        <v>21</v>
      </c>
      <c r="I315" t="s">
        <v>180</v>
      </c>
      <c r="J315" s="9">
        <v>42370</v>
      </c>
      <c r="K315" s="1">
        <v>5002.4761900000003</v>
      </c>
      <c r="L315" s="1" t="s">
        <v>165</v>
      </c>
    </row>
    <row r="316" spans="1:12" x14ac:dyDescent="0.25">
      <c r="A316" t="s">
        <v>153</v>
      </c>
      <c r="B316" t="s">
        <v>181</v>
      </c>
      <c r="C316" t="s">
        <v>194</v>
      </c>
      <c r="D316" t="s">
        <v>89</v>
      </c>
      <c r="E316" t="s">
        <v>9</v>
      </c>
      <c r="F316" t="s">
        <v>12</v>
      </c>
      <c r="G316">
        <v>164900</v>
      </c>
      <c r="H316">
        <v>38</v>
      </c>
      <c r="I316" t="s">
        <v>79</v>
      </c>
      <c r="J316" s="9">
        <v>42370</v>
      </c>
      <c r="K316" s="1">
        <v>4339.4736839999996</v>
      </c>
      <c r="L316" s="1" t="s">
        <v>165</v>
      </c>
    </row>
    <row r="317" spans="1:12" x14ac:dyDescent="0.25">
      <c r="A317" t="s">
        <v>153</v>
      </c>
      <c r="B317" t="s">
        <v>181</v>
      </c>
      <c r="C317" t="s">
        <v>190</v>
      </c>
      <c r="D317" t="s">
        <v>87</v>
      </c>
      <c r="E317" t="s">
        <v>9</v>
      </c>
      <c r="F317" t="s">
        <v>12</v>
      </c>
      <c r="G317">
        <v>92653</v>
      </c>
      <c r="H317">
        <v>41</v>
      </c>
      <c r="I317" t="s">
        <v>79</v>
      </c>
      <c r="J317" s="9">
        <v>42370</v>
      </c>
      <c r="K317" s="1">
        <v>2259.829268</v>
      </c>
      <c r="L317" s="1" t="s">
        <v>167</v>
      </c>
    </row>
    <row r="318" spans="1:12" x14ac:dyDescent="0.25">
      <c r="A318" t="s">
        <v>153</v>
      </c>
      <c r="B318" t="s">
        <v>181</v>
      </c>
      <c r="C318" t="s">
        <v>122</v>
      </c>
      <c r="D318" t="s">
        <v>162</v>
      </c>
      <c r="E318" t="s">
        <v>5</v>
      </c>
      <c r="F318" t="s">
        <v>6</v>
      </c>
      <c r="G318">
        <v>128070</v>
      </c>
      <c r="H318">
        <v>31</v>
      </c>
      <c r="I318" t="s">
        <v>81</v>
      </c>
      <c r="J318" s="9">
        <v>42370</v>
      </c>
      <c r="K318" s="1">
        <v>4131.2903230000002</v>
      </c>
      <c r="L318" s="1" t="s">
        <v>165</v>
      </c>
    </row>
    <row r="319" spans="1:12" x14ac:dyDescent="0.25">
      <c r="A319" t="s">
        <v>153</v>
      </c>
      <c r="B319" t="s">
        <v>181</v>
      </c>
      <c r="C319" t="s">
        <v>122</v>
      </c>
      <c r="D319" t="s">
        <v>162</v>
      </c>
      <c r="E319" t="s">
        <v>5</v>
      </c>
      <c r="F319" t="s">
        <v>6</v>
      </c>
      <c r="G319">
        <v>102814</v>
      </c>
      <c r="H319">
        <v>27</v>
      </c>
      <c r="I319" t="s">
        <v>79</v>
      </c>
      <c r="J319" s="9">
        <v>42370</v>
      </c>
      <c r="K319" s="1">
        <v>3807.9259259999999</v>
      </c>
      <c r="L319" s="1" t="s">
        <v>165</v>
      </c>
    </row>
    <row r="320" spans="1:12" x14ac:dyDescent="0.25">
      <c r="A320" t="s">
        <v>153</v>
      </c>
      <c r="B320" t="s">
        <v>181</v>
      </c>
      <c r="C320" t="s">
        <v>77</v>
      </c>
      <c r="D320" t="s">
        <v>162</v>
      </c>
      <c r="E320" t="s">
        <v>5</v>
      </c>
      <c r="F320" t="s">
        <v>6</v>
      </c>
      <c r="G320">
        <v>137688</v>
      </c>
      <c r="H320">
        <v>34</v>
      </c>
      <c r="I320" t="s">
        <v>79</v>
      </c>
      <c r="J320" s="9">
        <v>42370</v>
      </c>
      <c r="K320" s="1">
        <v>4049.6470589999999</v>
      </c>
      <c r="L320" s="1" t="s">
        <v>165</v>
      </c>
    </row>
    <row r="321" spans="1:12" x14ac:dyDescent="0.25">
      <c r="A321" t="s">
        <v>153</v>
      </c>
      <c r="B321" t="s">
        <v>181</v>
      </c>
      <c r="C321" t="s">
        <v>147</v>
      </c>
      <c r="D321" t="s">
        <v>162</v>
      </c>
      <c r="E321" t="s">
        <v>5</v>
      </c>
      <c r="F321" t="s">
        <v>7</v>
      </c>
      <c r="G321">
        <v>94685</v>
      </c>
      <c r="H321">
        <v>41</v>
      </c>
      <c r="I321" t="s">
        <v>180</v>
      </c>
      <c r="J321" s="9">
        <v>42384</v>
      </c>
      <c r="K321" s="1">
        <v>2309.3902440000002</v>
      </c>
      <c r="L321" s="1" t="s">
        <v>167</v>
      </c>
    </row>
    <row r="322" spans="1:12" x14ac:dyDescent="0.25">
      <c r="A322" t="s">
        <v>153</v>
      </c>
      <c r="B322" t="s">
        <v>181</v>
      </c>
      <c r="C322" t="s">
        <v>194</v>
      </c>
      <c r="D322" t="s">
        <v>89</v>
      </c>
      <c r="E322" t="s">
        <v>9</v>
      </c>
      <c r="F322" t="s">
        <v>12</v>
      </c>
      <c r="G322">
        <v>172920</v>
      </c>
      <c r="H322">
        <v>30</v>
      </c>
      <c r="I322" t="s">
        <v>79</v>
      </c>
      <c r="J322" s="9">
        <v>42370</v>
      </c>
      <c r="K322" s="1">
        <v>5764</v>
      </c>
      <c r="L322" s="1" t="s">
        <v>165</v>
      </c>
    </row>
    <row r="323" spans="1:12" x14ac:dyDescent="0.25">
      <c r="A323" t="s">
        <v>153</v>
      </c>
      <c r="B323" t="s">
        <v>181</v>
      </c>
      <c r="C323" t="s">
        <v>190</v>
      </c>
      <c r="D323" t="s">
        <v>87</v>
      </c>
      <c r="E323" t="s">
        <v>9</v>
      </c>
      <c r="F323" t="s">
        <v>12</v>
      </c>
      <c r="G323">
        <v>190270</v>
      </c>
      <c r="H323">
        <v>30</v>
      </c>
      <c r="I323" t="s">
        <v>79</v>
      </c>
      <c r="J323" s="9">
        <v>42370</v>
      </c>
      <c r="K323" s="1">
        <v>6342.3333329999996</v>
      </c>
      <c r="L323" s="1" t="s">
        <v>165</v>
      </c>
    </row>
    <row r="324" spans="1:12" x14ac:dyDescent="0.25">
      <c r="A324" t="s">
        <v>153</v>
      </c>
      <c r="B324" t="s">
        <v>181</v>
      </c>
      <c r="C324" t="s">
        <v>122</v>
      </c>
      <c r="D324" t="s">
        <v>162</v>
      </c>
      <c r="E324" t="s">
        <v>5</v>
      </c>
      <c r="F324" t="s">
        <v>6</v>
      </c>
      <c r="G324">
        <v>242009</v>
      </c>
      <c r="H324">
        <v>31</v>
      </c>
      <c r="I324" t="s">
        <v>79</v>
      </c>
      <c r="J324" s="9">
        <v>42370</v>
      </c>
      <c r="K324" s="1">
        <v>7806.741935</v>
      </c>
      <c r="L324" s="1" t="s">
        <v>166</v>
      </c>
    </row>
    <row r="325" spans="1:12" x14ac:dyDescent="0.25">
      <c r="A325" t="s">
        <v>153</v>
      </c>
      <c r="B325" t="s">
        <v>181</v>
      </c>
      <c r="C325" t="s">
        <v>122</v>
      </c>
      <c r="D325" t="s">
        <v>162</v>
      </c>
      <c r="E325" t="s">
        <v>5</v>
      </c>
      <c r="F325" t="s">
        <v>6</v>
      </c>
      <c r="G325">
        <v>146427</v>
      </c>
      <c r="H325">
        <v>25</v>
      </c>
      <c r="I325" t="s">
        <v>81</v>
      </c>
      <c r="J325" s="9">
        <v>42370</v>
      </c>
      <c r="K325" s="1">
        <v>5857.08</v>
      </c>
      <c r="L325" s="1" t="s">
        <v>165</v>
      </c>
    </row>
    <row r="326" spans="1:12" x14ac:dyDescent="0.25">
      <c r="A326" t="s">
        <v>153</v>
      </c>
      <c r="B326" t="s">
        <v>181</v>
      </c>
      <c r="C326" t="s">
        <v>131</v>
      </c>
      <c r="D326" t="s">
        <v>87</v>
      </c>
      <c r="E326" t="s">
        <v>9</v>
      </c>
      <c r="F326" t="s">
        <v>7</v>
      </c>
      <c r="G326">
        <v>234999</v>
      </c>
      <c r="H326">
        <v>23</v>
      </c>
      <c r="I326" t="s">
        <v>180</v>
      </c>
      <c r="J326" s="9">
        <v>42400</v>
      </c>
      <c r="K326" s="1">
        <v>10217.347830000001</v>
      </c>
      <c r="L326" s="1" t="s">
        <v>166</v>
      </c>
    </row>
    <row r="327" spans="1:12" x14ac:dyDescent="0.25">
      <c r="A327" t="s">
        <v>153</v>
      </c>
      <c r="B327" t="s">
        <v>181</v>
      </c>
      <c r="C327" t="s">
        <v>77</v>
      </c>
      <c r="D327" t="s">
        <v>162</v>
      </c>
      <c r="E327" t="s">
        <v>5</v>
      </c>
      <c r="F327" t="s">
        <v>6</v>
      </c>
      <c r="G327">
        <v>220871</v>
      </c>
      <c r="H327">
        <v>38</v>
      </c>
      <c r="I327" t="s">
        <v>81</v>
      </c>
      <c r="J327" s="9">
        <v>42370</v>
      </c>
      <c r="K327" s="1">
        <v>5812.3947369999996</v>
      </c>
      <c r="L327" s="1" t="s">
        <v>166</v>
      </c>
    </row>
    <row r="328" spans="1:12" x14ac:dyDescent="0.25">
      <c r="A328" t="s">
        <v>153</v>
      </c>
      <c r="B328" t="s">
        <v>181</v>
      </c>
      <c r="C328" t="s">
        <v>77</v>
      </c>
      <c r="D328" t="s">
        <v>162</v>
      </c>
      <c r="E328" t="s">
        <v>5</v>
      </c>
      <c r="F328" t="s">
        <v>6</v>
      </c>
      <c r="G328">
        <v>153090</v>
      </c>
      <c r="H328">
        <v>23</v>
      </c>
      <c r="I328" t="s">
        <v>81</v>
      </c>
      <c r="J328" s="9">
        <v>42370</v>
      </c>
      <c r="K328" s="1">
        <v>6656.0869570000004</v>
      </c>
      <c r="L328" s="1" t="s">
        <v>165</v>
      </c>
    </row>
    <row r="329" spans="1:12" x14ac:dyDescent="0.25">
      <c r="A329" t="s">
        <v>153</v>
      </c>
      <c r="B329" t="s">
        <v>181</v>
      </c>
      <c r="C329" t="s">
        <v>147</v>
      </c>
      <c r="D329" t="s">
        <v>162</v>
      </c>
      <c r="E329" t="s">
        <v>5</v>
      </c>
      <c r="F329" t="s">
        <v>7</v>
      </c>
      <c r="G329">
        <v>247691</v>
      </c>
      <c r="H329">
        <v>15</v>
      </c>
      <c r="I329" t="s">
        <v>79</v>
      </c>
      <c r="J329" s="9">
        <v>42384</v>
      </c>
      <c r="K329" s="1">
        <v>16512.733329999999</v>
      </c>
      <c r="L329" s="1" t="s">
        <v>166</v>
      </c>
    </row>
    <row r="330" spans="1:12" x14ac:dyDescent="0.25">
      <c r="A330" t="s">
        <v>153</v>
      </c>
      <c r="B330" t="s">
        <v>181</v>
      </c>
      <c r="C330" t="s">
        <v>194</v>
      </c>
      <c r="D330" t="s">
        <v>89</v>
      </c>
      <c r="E330" t="s">
        <v>9</v>
      </c>
      <c r="F330" t="s">
        <v>12</v>
      </c>
      <c r="G330">
        <v>55017</v>
      </c>
      <c r="H330">
        <v>40</v>
      </c>
      <c r="I330" t="s">
        <v>82</v>
      </c>
      <c r="J330" s="9">
        <v>42370</v>
      </c>
      <c r="K330" s="1">
        <v>1375.425</v>
      </c>
      <c r="L330" s="1" t="s">
        <v>167</v>
      </c>
    </row>
    <row r="331" spans="1:12" x14ac:dyDescent="0.25">
      <c r="A331" t="s">
        <v>153</v>
      </c>
      <c r="B331" t="s">
        <v>181</v>
      </c>
      <c r="C331" t="s">
        <v>190</v>
      </c>
      <c r="D331" t="s">
        <v>87</v>
      </c>
      <c r="E331" t="s">
        <v>9</v>
      </c>
      <c r="F331" t="s">
        <v>12</v>
      </c>
      <c r="G331">
        <v>176805</v>
      </c>
      <c r="H331">
        <v>37</v>
      </c>
      <c r="I331" t="s">
        <v>79</v>
      </c>
      <c r="J331" s="9">
        <v>42370</v>
      </c>
      <c r="K331" s="1">
        <v>4778.5135140000002</v>
      </c>
      <c r="L331" s="1" t="s">
        <v>165</v>
      </c>
    </row>
    <row r="332" spans="1:12" x14ac:dyDescent="0.25">
      <c r="A332" t="s">
        <v>153</v>
      </c>
      <c r="B332" t="s">
        <v>181</v>
      </c>
      <c r="C332" t="s">
        <v>134</v>
      </c>
      <c r="D332" t="s">
        <v>87</v>
      </c>
      <c r="E332" t="s">
        <v>9</v>
      </c>
      <c r="F332" t="s">
        <v>6</v>
      </c>
      <c r="G332">
        <v>64955</v>
      </c>
      <c r="H332">
        <v>15</v>
      </c>
      <c r="I332" t="s">
        <v>81</v>
      </c>
      <c r="J332" s="9">
        <v>42370</v>
      </c>
      <c r="K332" s="1">
        <v>4330.3333329999996</v>
      </c>
      <c r="L332" s="1" t="s">
        <v>167</v>
      </c>
    </row>
    <row r="333" spans="1:12" x14ac:dyDescent="0.25">
      <c r="A333" t="s">
        <v>153</v>
      </c>
      <c r="B333" t="s">
        <v>181</v>
      </c>
      <c r="C333" t="s">
        <v>149</v>
      </c>
      <c r="D333" t="s">
        <v>161</v>
      </c>
      <c r="E333" t="s">
        <v>9</v>
      </c>
      <c r="F333" t="s">
        <v>6</v>
      </c>
      <c r="G333">
        <v>80508</v>
      </c>
      <c r="H333">
        <v>18</v>
      </c>
      <c r="I333" t="s">
        <v>79</v>
      </c>
      <c r="J333" s="9">
        <v>42370</v>
      </c>
      <c r="K333" s="1">
        <v>4472.6666670000004</v>
      </c>
      <c r="L333" s="1" t="s">
        <v>167</v>
      </c>
    </row>
    <row r="334" spans="1:12" x14ac:dyDescent="0.25">
      <c r="A334" t="s">
        <v>153</v>
      </c>
      <c r="B334" t="s">
        <v>181</v>
      </c>
      <c r="C334" t="s">
        <v>122</v>
      </c>
      <c r="D334" t="s">
        <v>162</v>
      </c>
      <c r="E334" t="s">
        <v>5</v>
      </c>
      <c r="F334" t="s">
        <v>6</v>
      </c>
      <c r="G334">
        <v>234572</v>
      </c>
      <c r="H334">
        <v>41</v>
      </c>
      <c r="I334" t="s">
        <v>82</v>
      </c>
      <c r="J334" s="9">
        <v>42370</v>
      </c>
      <c r="K334" s="1">
        <v>5721.2682930000001</v>
      </c>
      <c r="L334" s="1" t="s">
        <v>166</v>
      </c>
    </row>
    <row r="335" spans="1:12" x14ac:dyDescent="0.25">
      <c r="A335" t="s">
        <v>153</v>
      </c>
      <c r="B335" t="s">
        <v>181</v>
      </c>
      <c r="C335" t="s">
        <v>122</v>
      </c>
      <c r="D335" t="s">
        <v>162</v>
      </c>
      <c r="E335" t="s">
        <v>5</v>
      </c>
      <c r="F335" t="s">
        <v>6</v>
      </c>
      <c r="G335">
        <v>163163</v>
      </c>
      <c r="H335">
        <v>16</v>
      </c>
      <c r="I335" t="s">
        <v>81</v>
      </c>
      <c r="J335" s="9">
        <v>42370</v>
      </c>
      <c r="K335" s="1">
        <v>10197.6875</v>
      </c>
      <c r="L335" s="1" t="s">
        <v>165</v>
      </c>
    </row>
    <row r="336" spans="1:12" x14ac:dyDescent="0.25">
      <c r="A336" t="s">
        <v>154</v>
      </c>
      <c r="B336" t="s">
        <v>181</v>
      </c>
      <c r="C336" t="s">
        <v>194</v>
      </c>
      <c r="D336" t="s">
        <v>89</v>
      </c>
      <c r="E336" t="s">
        <v>9</v>
      </c>
      <c r="F336" t="s">
        <v>12</v>
      </c>
      <c r="G336">
        <v>130859</v>
      </c>
      <c r="H336">
        <v>21</v>
      </c>
      <c r="I336" t="s">
        <v>79</v>
      </c>
      <c r="J336" s="9">
        <v>42370</v>
      </c>
      <c r="K336" s="1">
        <v>6231.3809520000004</v>
      </c>
      <c r="L336" s="1" t="s">
        <v>165</v>
      </c>
    </row>
    <row r="337" spans="1:12" x14ac:dyDescent="0.25">
      <c r="A337" t="s">
        <v>154</v>
      </c>
      <c r="B337" t="s">
        <v>181</v>
      </c>
      <c r="C337" t="s">
        <v>134</v>
      </c>
      <c r="D337" t="s">
        <v>87</v>
      </c>
      <c r="E337" t="s">
        <v>9</v>
      </c>
      <c r="F337" t="s">
        <v>6</v>
      </c>
      <c r="G337">
        <v>58878</v>
      </c>
      <c r="H337">
        <v>36</v>
      </c>
      <c r="I337" t="s">
        <v>180</v>
      </c>
      <c r="J337" s="9">
        <v>42370</v>
      </c>
      <c r="K337" s="1">
        <v>1635.5</v>
      </c>
      <c r="L337" s="1" t="s">
        <v>167</v>
      </c>
    </row>
    <row r="338" spans="1:12" x14ac:dyDescent="0.25">
      <c r="A338" t="s">
        <v>154</v>
      </c>
      <c r="B338" t="s">
        <v>181</v>
      </c>
      <c r="C338" t="s">
        <v>149</v>
      </c>
      <c r="D338" t="s">
        <v>161</v>
      </c>
      <c r="E338" t="s">
        <v>9</v>
      </c>
      <c r="F338" t="s">
        <v>6</v>
      </c>
      <c r="G338">
        <v>116148</v>
      </c>
      <c r="H338">
        <v>37</v>
      </c>
      <c r="I338" t="s">
        <v>79</v>
      </c>
      <c r="J338" s="9">
        <v>42370</v>
      </c>
      <c r="K338" s="1">
        <v>3139.135135</v>
      </c>
      <c r="L338" s="1" t="s">
        <v>165</v>
      </c>
    </row>
    <row r="339" spans="1:12" x14ac:dyDescent="0.25">
      <c r="A339" t="s">
        <v>154</v>
      </c>
      <c r="B339" t="s">
        <v>181</v>
      </c>
      <c r="C339" t="s">
        <v>122</v>
      </c>
      <c r="D339" t="s">
        <v>162</v>
      </c>
      <c r="E339" t="s">
        <v>5</v>
      </c>
      <c r="F339" t="s">
        <v>6</v>
      </c>
      <c r="G339">
        <v>78119</v>
      </c>
      <c r="H339">
        <v>38</v>
      </c>
      <c r="I339" t="s">
        <v>79</v>
      </c>
      <c r="J339" s="9">
        <v>42370</v>
      </c>
      <c r="K339" s="1">
        <v>2055.7631580000002</v>
      </c>
      <c r="L339" s="1" t="s">
        <v>167</v>
      </c>
    </row>
    <row r="340" spans="1:12" x14ac:dyDescent="0.25">
      <c r="A340" t="s">
        <v>154</v>
      </c>
      <c r="B340" t="s">
        <v>181</v>
      </c>
      <c r="C340" t="s">
        <v>122</v>
      </c>
      <c r="D340" t="s">
        <v>162</v>
      </c>
      <c r="E340" t="s">
        <v>5</v>
      </c>
      <c r="F340" t="s">
        <v>6</v>
      </c>
      <c r="G340">
        <v>117337</v>
      </c>
      <c r="H340">
        <v>22</v>
      </c>
      <c r="I340" t="s">
        <v>81</v>
      </c>
      <c r="J340" s="9">
        <v>42370</v>
      </c>
      <c r="K340" s="1">
        <v>5333.5</v>
      </c>
      <c r="L340" s="1" t="s">
        <v>165</v>
      </c>
    </row>
    <row r="341" spans="1:12" x14ac:dyDescent="0.25">
      <c r="A341" t="s">
        <v>154</v>
      </c>
      <c r="B341" t="s">
        <v>181</v>
      </c>
      <c r="C341" t="s">
        <v>118</v>
      </c>
      <c r="D341" t="s">
        <v>162</v>
      </c>
      <c r="E341" t="s">
        <v>5</v>
      </c>
      <c r="F341" t="s">
        <v>6</v>
      </c>
      <c r="G341">
        <v>246381</v>
      </c>
      <c r="H341">
        <v>22</v>
      </c>
      <c r="I341" t="s">
        <v>79</v>
      </c>
      <c r="J341" s="9">
        <v>42370</v>
      </c>
      <c r="K341" s="1">
        <v>11199.13636</v>
      </c>
      <c r="L341" s="1" t="s">
        <v>166</v>
      </c>
    </row>
    <row r="342" spans="1:12" x14ac:dyDescent="0.25">
      <c r="A342" t="s">
        <v>154</v>
      </c>
      <c r="B342" t="s">
        <v>181</v>
      </c>
      <c r="C342" t="s">
        <v>122</v>
      </c>
      <c r="D342" t="s">
        <v>162</v>
      </c>
      <c r="E342" t="s">
        <v>5</v>
      </c>
      <c r="F342" t="s">
        <v>6</v>
      </c>
      <c r="G342">
        <v>85868</v>
      </c>
      <c r="H342">
        <v>38</v>
      </c>
      <c r="I342" t="s">
        <v>180</v>
      </c>
      <c r="J342" s="9">
        <v>42370</v>
      </c>
      <c r="K342" s="1">
        <v>2259.6842109999998</v>
      </c>
      <c r="L342" s="1" t="s">
        <v>167</v>
      </c>
    </row>
    <row r="343" spans="1:12" x14ac:dyDescent="0.25">
      <c r="A343" t="s">
        <v>154</v>
      </c>
      <c r="B343" t="s">
        <v>181</v>
      </c>
      <c r="C343" t="s">
        <v>77</v>
      </c>
      <c r="D343" t="s">
        <v>162</v>
      </c>
      <c r="E343" t="s">
        <v>5</v>
      </c>
      <c r="F343" t="s">
        <v>6</v>
      </c>
      <c r="G343">
        <v>248199</v>
      </c>
      <c r="H343">
        <v>42</v>
      </c>
      <c r="I343" t="s">
        <v>79</v>
      </c>
      <c r="J343" s="9">
        <v>42370</v>
      </c>
      <c r="K343" s="1">
        <v>5909.5</v>
      </c>
      <c r="L343" s="1" t="s">
        <v>166</v>
      </c>
    </row>
    <row r="344" spans="1:12" x14ac:dyDescent="0.25">
      <c r="A344" t="s">
        <v>154</v>
      </c>
      <c r="B344" t="s">
        <v>181</v>
      </c>
      <c r="C344" t="s">
        <v>194</v>
      </c>
      <c r="D344" t="s">
        <v>89</v>
      </c>
      <c r="E344" t="s">
        <v>9</v>
      </c>
      <c r="F344" t="s">
        <v>12</v>
      </c>
      <c r="G344">
        <v>72504</v>
      </c>
      <c r="H344">
        <v>38</v>
      </c>
      <c r="I344" t="s">
        <v>81</v>
      </c>
      <c r="J344" s="9">
        <v>42370</v>
      </c>
      <c r="K344" s="1">
        <v>1908</v>
      </c>
      <c r="L344" s="1" t="s">
        <v>167</v>
      </c>
    </row>
    <row r="345" spans="1:12" x14ac:dyDescent="0.25">
      <c r="A345" t="s">
        <v>154</v>
      </c>
      <c r="B345" t="s">
        <v>181</v>
      </c>
      <c r="C345" t="s">
        <v>194</v>
      </c>
      <c r="D345" t="s">
        <v>89</v>
      </c>
      <c r="E345" t="s">
        <v>9</v>
      </c>
      <c r="F345" t="s">
        <v>12</v>
      </c>
      <c r="G345">
        <v>222234</v>
      </c>
      <c r="H345">
        <v>33</v>
      </c>
      <c r="I345" t="s">
        <v>79</v>
      </c>
      <c r="J345" s="9">
        <v>42370</v>
      </c>
      <c r="K345" s="1">
        <v>6734.363636</v>
      </c>
      <c r="L345" s="1" t="s">
        <v>166</v>
      </c>
    </row>
    <row r="346" spans="1:12" x14ac:dyDescent="0.25">
      <c r="A346" t="s">
        <v>154</v>
      </c>
      <c r="B346" t="s">
        <v>181</v>
      </c>
      <c r="C346" t="s">
        <v>149</v>
      </c>
      <c r="D346" t="s">
        <v>161</v>
      </c>
      <c r="E346" t="s">
        <v>9</v>
      </c>
      <c r="F346" t="s">
        <v>6</v>
      </c>
      <c r="G346">
        <v>77987</v>
      </c>
      <c r="H346">
        <v>33</v>
      </c>
      <c r="I346" t="s">
        <v>81</v>
      </c>
      <c r="J346" s="9">
        <v>42370</v>
      </c>
      <c r="K346" s="1">
        <v>2363.242424</v>
      </c>
      <c r="L346" s="1" t="s">
        <v>167</v>
      </c>
    </row>
    <row r="347" spans="1:12" x14ac:dyDescent="0.25">
      <c r="A347" t="s">
        <v>154</v>
      </c>
      <c r="B347" t="s">
        <v>181</v>
      </c>
      <c r="C347" t="s">
        <v>122</v>
      </c>
      <c r="D347" t="s">
        <v>162</v>
      </c>
      <c r="E347" t="s">
        <v>5</v>
      </c>
      <c r="F347" t="s">
        <v>6</v>
      </c>
      <c r="G347">
        <v>86702</v>
      </c>
      <c r="H347">
        <v>21</v>
      </c>
      <c r="I347" t="s">
        <v>79</v>
      </c>
      <c r="J347" s="9">
        <v>42370</v>
      </c>
      <c r="K347" s="1">
        <v>4128.6666670000004</v>
      </c>
      <c r="L347" s="1" t="s">
        <v>167</v>
      </c>
    </row>
    <row r="348" spans="1:12" x14ac:dyDescent="0.25">
      <c r="A348" t="s">
        <v>154</v>
      </c>
      <c r="B348" t="s">
        <v>181</v>
      </c>
      <c r="C348" t="s">
        <v>122</v>
      </c>
      <c r="D348" t="s">
        <v>162</v>
      </c>
      <c r="E348" t="s">
        <v>5</v>
      </c>
      <c r="F348" t="s">
        <v>6</v>
      </c>
      <c r="G348">
        <v>218040</v>
      </c>
      <c r="H348">
        <v>32</v>
      </c>
      <c r="I348" t="s">
        <v>81</v>
      </c>
      <c r="J348" s="9">
        <v>42370</v>
      </c>
      <c r="K348" s="1">
        <v>6813.75</v>
      </c>
      <c r="L348" s="1" t="s">
        <v>166</v>
      </c>
    </row>
    <row r="349" spans="1:12" x14ac:dyDescent="0.25">
      <c r="A349" t="s">
        <v>154</v>
      </c>
      <c r="B349" t="s">
        <v>181</v>
      </c>
      <c r="C349" t="s">
        <v>122</v>
      </c>
      <c r="D349" t="s">
        <v>162</v>
      </c>
      <c r="E349" t="s">
        <v>5</v>
      </c>
      <c r="F349" t="s">
        <v>6</v>
      </c>
      <c r="G349">
        <v>86031</v>
      </c>
      <c r="H349">
        <v>40</v>
      </c>
      <c r="I349" t="s">
        <v>79</v>
      </c>
      <c r="J349" s="9">
        <v>42370</v>
      </c>
      <c r="K349" s="1">
        <v>2150.7750000000001</v>
      </c>
      <c r="L349" s="1" t="s">
        <v>167</v>
      </c>
    </row>
    <row r="350" spans="1:12" x14ac:dyDescent="0.25">
      <c r="A350" t="s">
        <v>154</v>
      </c>
      <c r="B350" t="s">
        <v>181</v>
      </c>
      <c r="C350" t="s">
        <v>118</v>
      </c>
      <c r="D350" t="s">
        <v>162</v>
      </c>
      <c r="E350" t="s">
        <v>5</v>
      </c>
      <c r="F350" t="s">
        <v>6</v>
      </c>
      <c r="G350">
        <v>82758</v>
      </c>
      <c r="H350">
        <v>18</v>
      </c>
      <c r="I350" t="s">
        <v>79</v>
      </c>
      <c r="J350" s="9">
        <v>42370</v>
      </c>
      <c r="K350" s="1">
        <v>4597.6666670000004</v>
      </c>
      <c r="L350" s="1" t="s">
        <v>167</v>
      </c>
    </row>
    <row r="351" spans="1:12" x14ac:dyDescent="0.25">
      <c r="A351" t="s">
        <v>154</v>
      </c>
      <c r="B351" t="s">
        <v>181</v>
      </c>
      <c r="C351" t="s">
        <v>16</v>
      </c>
      <c r="D351" t="s">
        <v>162</v>
      </c>
      <c r="E351" t="s">
        <v>5</v>
      </c>
      <c r="F351" t="s">
        <v>6</v>
      </c>
      <c r="G351">
        <v>214887</v>
      </c>
      <c r="H351">
        <v>32</v>
      </c>
      <c r="I351" t="s">
        <v>93</v>
      </c>
      <c r="J351" s="9">
        <v>42394</v>
      </c>
      <c r="K351" s="1">
        <v>6715.21875</v>
      </c>
      <c r="L351" s="1" t="s">
        <v>166</v>
      </c>
    </row>
    <row r="352" spans="1:12" x14ac:dyDescent="0.25">
      <c r="A352" t="s">
        <v>154</v>
      </c>
      <c r="B352" t="s">
        <v>181</v>
      </c>
      <c r="C352" t="s">
        <v>194</v>
      </c>
      <c r="D352" t="s">
        <v>89</v>
      </c>
      <c r="E352" t="s">
        <v>9</v>
      </c>
      <c r="F352" t="s">
        <v>12</v>
      </c>
      <c r="G352">
        <v>213158</v>
      </c>
      <c r="H352">
        <v>27</v>
      </c>
      <c r="I352" t="s">
        <v>180</v>
      </c>
      <c r="J352" s="9">
        <v>42370</v>
      </c>
      <c r="K352" s="1">
        <v>7894.7407409999996</v>
      </c>
      <c r="L352" s="1" t="s">
        <v>166</v>
      </c>
    </row>
    <row r="353" spans="1:12" x14ac:dyDescent="0.25">
      <c r="A353" t="s">
        <v>154</v>
      </c>
      <c r="B353" t="s">
        <v>181</v>
      </c>
      <c r="C353" t="s">
        <v>194</v>
      </c>
      <c r="D353" t="s">
        <v>89</v>
      </c>
      <c r="E353" t="s">
        <v>9</v>
      </c>
      <c r="F353" t="s">
        <v>12</v>
      </c>
      <c r="G353">
        <v>247148</v>
      </c>
      <c r="H353">
        <v>25</v>
      </c>
      <c r="I353" t="s">
        <v>82</v>
      </c>
      <c r="J353" s="9">
        <v>42370</v>
      </c>
      <c r="K353" s="1">
        <v>9885.92</v>
      </c>
      <c r="L353" s="1" t="s">
        <v>166</v>
      </c>
    </row>
    <row r="354" spans="1:12" x14ac:dyDescent="0.25">
      <c r="A354" t="s">
        <v>154</v>
      </c>
      <c r="B354" t="s">
        <v>181</v>
      </c>
      <c r="C354" t="s">
        <v>190</v>
      </c>
      <c r="D354" t="s">
        <v>87</v>
      </c>
      <c r="E354" t="s">
        <v>9</v>
      </c>
      <c r="F354" t="s">
        <v>12</v>
      </c>
      <c r="G354">
        <v>167422</v>
      </c>
      <c r="H354">
        <v>22</v>
      </c>
      <c r="I354" t="s">
        <v>81</v>
      </c>
      <c r="J354" s="9">
        <v>42370</v>
      </c>
      <c r="K354" s="1">
        <v>7610.0909089999996</v>
      </c>
      <c r="L354" s="1" t="s">
        <v>165</v>
      </c>
    </row>
    <row r="355" spans="1:12" x14ac:dyDescent="0.25">
      <c r="A355" t="s">
        <v>154</v>
      </c>
      <c r="B355" t="s">
        <v>181</v>
      </c>
      <c r="C355" t="s">
        <v>122</v>
      </c>
      <c r="D355" t="s">
        <v>162</v>
      </c>
      <c r="E355" t="s">
        <v>5</v>
      </c>
      <c r="F355" t="s">
        <v>6</v>
      </c>
      <c r="G355">
        <v>122128</v>
      </c>
      <c r="H355">
        <v>28</v>
      </c>
      <c r="I355" t="s">
        <v>180</v>
      </c>
      <c r="J355" s="9">
        <v>42370</v>
      </c>
      <c r="K355" s="1">
        <v>4361.7142860000004</v>
      </c>
      <c r="L355" s="1" t="s">
        <v>165</v>
      </c>
    </row>
    <row r="356" spans="1:12" x14ac:dyDescent="0.25">
      <c r="A356" t="s">
        <v>154</v>
      </c>
      <c r="B356" t="s">
        <v>181</v>
      </c>
      <c r="C356" t="s">
        <v>122</v>
      </c>
      <c r="D356" t="s">
        <v>162</v>
      </c>
      <c r="E356" t="s">
        <v>5</v>
      </c>
      <c r="F356" t="s">
        <v>6</v>
      </c>
      <c r="G356">
        <v>109633</v>
      </c>
      <c r="H356">
        <v>23</v>
      </c>
      <c r="I356" t="s">
        <v>81</v>
      </c>
      <c r="J356" s="9">
        <v>42370</v>
      </c>
      <c r="K356" s="1">
        <v>4766.6521739999998</v>
      </c>
      <c r="L356" s="1" t="s">
        <v>165</v>
      </c>
    </row>
    <row r="357" spans="1:12" x14ac:dyDescent="0.25">
      <c r="A357" t="s">
        <v>154</v>
      </c>
      <c r="B357" t="s">
        <v>181</v>
      </c>
      <c r="C357" t="s">
        <v>118</v>
      </c>
      <c r="D357" t="s">
        <v>162</v>
      </c>
      <c r="E357" t="s">
        <v>5</v>
      </c>
      <c r="F357" t="s">
        <v>6</v>
      </c>
      <c r="G357">
        <v>167740</v>
      </c>
      <c r="H357">
        <v>19</v>
      </c>
      <c r="I357" t="s">
        <v>81</v>
      </c>
      <c r="J357" s="9">
        <v>42370</v>
      </c>
      <c r="K357" s="1">
        <v>8828.421053</v>
      </c>
      <c r="L357" s="1" t="s">
        <v>165</v>
      </c>
    </row>
    <row r="358" spans="1:12" x14ac:dyDescent="0.25">
      <c r="A358" t="s">
        <v>154</v>
      </c>
      <c r="B358" t="s">
        <v>181</v>
      </c>
      <c r="C358" t="s">
        <v>149</v>
      </c>
      <c r="D358" t="s">
        <v>161</v>
      </c>
      <c r="E358" t="s">
        <v>9</v>
      </c>
      <c r="F358" t="s">
        <v>6</v>
      </c>
      <c r="G358">
        <v>206146</v>
      </c>
      <c r="H358">
        <v>31</v>
      </c>
      <c r="I358" t="s">
        <v>180</v>
      </c>
      <c r="J358" s="9">
        <v>42370</v>
      </c>
      <c r="K358" s="1">
        <v>6649.8709680000002</v>
      </c>
      <c r="L358" s="1" t="s">
        <v>166</v>
      </c>
    </row>
    <row r="359" spans="1:12" x14ac:dyDescent="0.25">
      <c r="A359" t="s">
        <v>155</v>
      </c>
      <c r="B359" t="s">
        <v>181</v>
      </c>
      <c r="C359" t="s">
        <v>147</v>
      </c>
      <c r="D359" t="s">
        <v>91</v>
      </c>
      <c r="E359" t="s">
        <v>9</v>
      </c>
      <c r="F359" t="s">
        <v>7</v>
      </c>
      <c r="G359">
        <v>207279</v>
      </c>
      <c r="H359">
        <v>32</v>
      </c>
      <c r="I359" t="s">
        <v>79</v>
      </c>
      <c r="J359" s="9">
        <v>42186</v>
      </c>
      <c r="K359" s="1">
        <v>6477.46875</v>
      </c>
      <c r="L359" s="1" t="s">
        <v>166</v>
      </c>
    </row>
    <row r="360" spans="1:12" x14ac:dyDescent="0.25">
      <c r="A360" t="s">
        <v>155</v>
      </c>
      <c r="B360" t="s">
        <v>181</v>
      </c>
      <c r="C360" t="s">
        <v>140</v>
      </c>
      <c r="D360" t="s">
        <v>88</v>
      </c>
      <c r="E360" t="s">
        <v>9</v>
      </c>
      <c r="F360" t="s">
        <v>6</v>
      </c>
      <c r="G360">
        <v>141765</v>
      </c>
      <c r="H360">
        <v>25</v>
      </c>
      <c r="I360" t="s">
        <v>82</v>
      </c>
      <c r="J360" s="9">
        <v>42186</v>
      </c>
      <c r="K360" s="1">
        <v>5670.6</v>
      </c>
      <c r="L360" s="1" t="s">
        <v>165</v>
      </c>
    </row>
    <row r="361" spans="1:12" x14ac:dyDescent="0.25">
      <c r="A361" t="s">
        <v>156</v>
      </c>
      <c r="B361" t="s">
        <v>181</v>
      </c>
      <c r="C361" t="s">
        <v>140</v>
      </c>
      <c r="D361" t="s">
        <v>88</v>
      </c>
      <c r="E361" t="s">
        <v>9</v>
      </c>
      <c r="F361" t="s">
        <v>6</v>
      </c>
      <c r="G361">
        <v>98184</v>
      </c>
      <c r="H361">
        <v>37</v>
      </c>
      <c r="I361" t="s">
        <v>79</v>
      </c>
      <c r="J361" s="9">
        <v>42186</v>
      </c>
      <c r="K361" s="1">
        <v>2653.6216220000001</v>
      </c>
      <c r="L361" s="1" t="s">
        <v>167</v>
      </c>
    </row>
    <row r="362" spans="1:12" x14ac:dyDescent="0.25">
      <c r="A362" t="s">
        <v>156</v>
      </c>
      <c r="B362" t="s">
        <v>181</v>
      </c>
      <c r="C362" t="s">
        <v>126</v>
      </c>
      <c r="D362" t="s">
        <v>91</v>
      </c>
      <c r="E362" t="s">
        <v>9</v>
      </c>
      <c r="F362" t="s">
        <v>7</v>
      </c>
      <c r="G362">
        <v>143852</v>
      </c>
      <c r="H362">
        <v>16</v>
      </c>
      <c r="I362" t="s">
        <v>81</v>
      </c>
      <c r="J362" s="9">
        <v>42186</v>
      </c>
      <c r="K362" s="1">
        <v>8990.75</v>
      </c>
      <c r="L362" s="1" t="s">
        <v>165</v>
      </c>
    </row>
    <row r="363" spans="1:12" x14ac:dyDescent="0.25">
      <c r="A363" t="s">
        <v>156</v>
      </c>
      <c r="B363" t="s">
        <v>181</v>
      </c>
      <c r="C363" t="s">
        <v>127</v>
      </c>
      <c r="D363" t="s">
        <v>163</v>
      </c>
      <c r="E363" t="s">
        <v>5</v>
      </c>
      <c r="F363" t="s">
        <v>6</v>
      </c>
      <c r="G363">
        <v>145865</v>
      </c>
      <c r="H363">
        <v>32</v>
      </c>
      <c r="I363" t="s">
        <v>81</v>
      </c>
      <c r="J363" s="9">
        <v>42202</v>
      </c>
      <c r="K363" s="1">
        <v>4558.28125</v>
      </c>
      <c r="L363" s="1" t="s">
        <v>165</v>
      </c>
    </row>
    <row r="364" spans="1:12" x14ac:dyDescent="0.25">
      <c r="A364" t="s">
        <v>156</v>
      </c>
      <c r="B364" t="s">
        <v>181</v>
      </c>
      <c r="C364" t="s">
        <v>195</v>
      </c>
      <c r="D364" t="s">
        <v>91</v>
      </c>
      <c r="E364" t="s">
        <v>9</v>
      </c>
      <c r="F364" t="s">
        <v>12</v>
      </c>
      <c r="G364">
        <v>238566</v>
      </c>
      <c r="H364">
        <v>18</v>
      </c>
      <c r="I364" t="s">
        <v>79</v>
      </c>
      <c r="J364" s="9">
        <v>42214</v>
      </c>
      <c r="K364" s="1">
        <v>13253.666670000001</v>
      </c>
      <c r="L364" s="1" t="s">
        <v>166</v>
      </c>
    </row>
    <row r="365" spans="1:12" x14ac:dyDescent="0.25">
      <c r="A365" t="s">
        <v>156</v>
      </c>
      <c r="B365" t="s">
        <v>181</v>
      </c>
      <c r="C365" t="s">
        <v>140</v>
      </c>
      <c r="D365" t="s">
        <v>88</v>
      </c>
      <c r="E365" t="s">
        <v>9</v>
      </c>
      <c r="F365" t="s">
        <v>6</v>
      </c>
      <c r="G365">
        <v>170460</v>
      </c>
      <c r="H365">
        <v>39</v>
      </c>
      <c r="I365" t="s">
        <v>81</v>
      </c>
      <c r="J365" s="9">
        <v>42186</v>
      </c>
      <c r="K365" s="1">
        <v>4370.7692310000002</v>
      </c>
      <c r="L365" s="1" t="s">
        <v>165</v>
      </c>
    </row>
    <row r="366" spans="1:12" x14ac:dyDescent="0.25">
      <c r="A366" t="s">
        <v>156</v>
      </c>
      <c r="B366" t="s">
        <v>181</v>
      </c>
      <c r="C366" t="s">
        <v>126</v>
      </c>
      <c r="D366" t="s">
        <v>91</v>
      </c>
      <c r="E366" t="s">
        <v>9</v>
      </c>
      <c r="F366" t="s">
        <v>7</v>
      </c>
      <c r="G366">
        <v>244710</v>
      </c>
      <c r="H366">
        <v>28</v>
      </c>
      <c r="I366" t="s">
        <v>81</v>
      </c>
      <c r="J366" s="9">
        <v>42186</v>
      </c>
      <c r="K366" s="1">
        <v>8739.6428570000007</v>
      </c>
      <c r="L366" s="1" t="s">
        <v>166</v>
      </c>
    </row>
    <row r="367" spans="1:12" x14ac:dyDescent="0.25">
      <c r="A367" t="s">
        <v>156</v>
      </c>
      <c r="B367" t="s">
        <v>181</v>
      </c>
      <c r="C367" t="s">
        <v>141</v>
      </c>
      <c r="D367" t="s">
        <v>163</v>
      </c>
      <c r="E367" t="s">
        <v>5</v>
      </c>
      <c r="F367" t="s">
        <v>12</v>
      </c>
      <c r="G367">
        <v>188140</v>
      </c>
      <c r="H367">
        <v>18</v>
      </c>
      <c r="I367" t="s">
        <v>180</v>
      </c>
      <c r="J367" s="9">
        <v>42186</v>
      </c>
      <c r="K367" s="1">
        <v>10452.22222</v>
      </c>
      <c r="L367" s="1" t="s">
        <v>165</v>
      </c>
    </row>
    <row r="368" spans="1:12" x14ac:dyDescent="0.25">
      <c r="A368" t="s">
        <v>156</v>
      </c>
      <c r="B368" t="s">
        <v>181</v>
      </c>
      <c r="C368" t="s">
        <v>141</v>
      </c>
      <c r="D368" t="s">
        <v>85</v>
      </c>
      <c r="E368" t="s">
        <v>5</v>
      </c>
      <c r="F368" t="s">
        <v>12</v>
      </c>
      <c r="G368">
        <v>221649</v>
      </c>
      <c r="H368">
        <v>37</v>
      </c>
      <c r="I368" t="s">
        <v>81</v>
      </c>
      <c r="J368" s="9">
        <v>42186</v>
      </c>
      <c r="K368" s="1">
        <v>5990.5135140000002</v>
      </c>
      <c r="L368" s="1" t="s">
        <v>166</v>
      </c>
    </row>
    <row r="369" spans="1:12" x14ac:dyDescent="0.25">
      <c r="A369" t="s">
        <v>156</v>
      </c>
      <c r="B369" t="s">
        <v>181</v>
      </c>
      <c r="C369" t="s">
        <v>141</v>
      </c>
      <c r="D369" t="s">
        <v>85</v>
      </c>
      <c r="E369" t="s">
        <v>5</v>
      </c>
      <c r="F369" t="s">
        <v>6</v>
      </c>
      <c r="G369">
        <v>52283</v>
      </c>
      <c r="H369">
        <v>32</v>
      </c>
      <c r="I369" t="s">
        <v>81</v>
      </c>
      <c r="J369" s="9">
        <v>42186</v>
      </c>
      <c r="K369" s="1">
        <v>1633.84375</v>
      </c>
      <c r="L369" s="1" t="s">
        <v>167</v>
      </c>
    </row>
    <row r="370" spans="1:12" x14ac:dyDescent="0.25">
      <c r="A370" t="s">
        <v>150</v>
      </c>
      <c r="B370" t="s">
        <v>181</v>
      </c>
      <c r="C370" t="s">
        <v>192</v>
      </c>
      <c r="D370" t="s">
        <v>162</v>
      </c>
      <c r="E370" t="s">
        <v>5</v>
      </c>
      <c r="F370" t="s">
        <v>6</v>
      </c>
      <c r="G370">
        <v>189756</v>
      </c>
      <c r="H370">
        <v>37</v>
      </c>
      <c r="I370" t="s">
        <v>180</v>
      </c>
      <c r="J370" s="9">
        <v>42215</v>
      </c>
      <c r="K370" s="1">
        <v>5128.5405410000003</v>
      </c>
      <c r="L370" s="1" t="s">
        <v>165</v>
      </c>
    </row>
    <row r="371" spans="1:12" x14ac:dyDescent="0.25">
      <c r="A371" t="s">
        <v>150</v>
      </c>
      <c r="B371" t="s">
        <v>181</v>
      </c>
      <c r="C371" t="s">
        <v>147</v>
      </c>
      <c r="D371" t="s">
        <v>91</v>
      </c>
      <c r="E371" t="s">
        <v>9</v>
      </c>
      <c r="F371" t="s">
        <v>6</v>
      </c>
      <c r="G371">
        <v>140881</v>
      </c>
      <c r="H371">
        <v>20</v>
      </c>
      <c r="I371" t="s">
        <v>180</v>
      </c>
      <c r="J371" s="9">
        <v>42186</v>
      </c>
      <c r="K371" s="1">
        <v>7044.05</v>
      </c>
      <c r="L371" s="1" t="s">
        <v>165</v>
      </c>
    </row>
    <row r="372" spans="1:12" x14ac:dyDescent="0.25">
      <c r="A372" t="s">
        <v>150</v>
      </c>
      <c r="B372" t="s">
        <v>181</v>
      </c>
      <c r="C372" t="s">
        <v>140</v>
      </c>
      <c r="D372" t="s">
        <v>88</v>
      </c>
      <c r="E372" t="s">
        <v>9</v>
      </c>
      <c r="F372" t="s">
        <v>6</v>
      </c>
      <c r="G372">
        <v>61931</v>
      </c>
      <c r="H372">
        <v>16</v>
      </c>
      <c r="I372" t="s">
        <v>79</v>
      </c>
      <c r="J372" s="9">
        <v>42186</v>
      </c>
      <c r="K372" s="1">
        <v>3870.6875</v>
      </c>
      <c r="L372" s="1" t="s">
        <v>167</v>
      </c>
    </row>
    <row r="373" spans="1:12" x14ac:dyDescent="0.25">
      <c r="A373" t="s">
        <v>150</v>
      </c>
      <c r="B373" t="s">
        <v>181</v>
      </c>
      <c r="C373" t="s">
        <v>140</v>
      </c>
      <c r="D373" t="s">
        <v>88</v>
      </c>
      <c r="E373" t="s">
        <v>9</v>
      </c>
      <c r="F373" t="s">
        <v>6</v>
      </c>
      <c r="G373">
        <v>111214</v>
      </c>
      <c r="H373">
        <v>25</v>
      </c>
      <c r="I373" t="s">
        <v>79</v>
      </c>
      <c r="J373" s="9">
        <v>42186</v>
      </c>
      <c r="K373" s="1">
        <v>4448.5600000000004</v>
      </c>
      <c r="L373" s="1" t="s">
        <v>165</v>
      </c>
    </row>
    <row r="374" spans="1:12" x14ac:dyDescent="0.25">
      <c r="A374" t="s">
        <v>150</v>
      </c>
      <c r="B374" t="s">
        <v>181</v>
      </c>
      <c r="C374" t="s">
        <v>105</v>
      </c>
      <c r="D374" t="s">
        <v>162</v>
      </c>
      <c r="E374" t="s">
        <v>5</v>
      </c>
      <c r="F374" t="s">
        <v>7</v>
      </c>
      <c r="G374">
        <v>155974</v>
      </c>
      <c r="H374">
        <v>30</v>
      </c>
      <c r="I374" t="s">
        <v>180</v>
      </c>
      <c r="J374" s="9">
        <v>42186</v>
      </c>
      <c r="K374" s="1">
        <v>5199.1333329999998</v>
      </c>
      <c r="L374" s="1" t="s">
        <v>165</v>
      </c>
    </row>
    <row r="375" spans="1:12" x14ac:dyDescent="0.25">
      <c r="A375" t="s">
        <v>150</v>
      </c>
      <c r="B375" t="s">
        <v>181</v>
      </c>
      <c r="C375" t="s">
        <v>106</v>
      </c>
      <c r="D375" t="s">
        <v>91</v>
      </c>
      <c r="E375" t="s">
        <v>9</v>
      </c>
      <c r="F375" t="s">
        <v>7</v>
      </c>
      <c r="G375">
        <v>148946</v>
      </c>
      <c r="H375">
        <v>31</v>
      </c>
      <c r="I375" t="s">
        <v>79</v>
      </c>
      <c r="J375" s="9">
        <v>42186</v>
      </c>
      <c r="K375" s="1">
        <v>4804.7096769999998</v>
      </c>
      <c r="L375" s="1" t="s">
        <v>165</v>
      </c>
    </row>
    <row r="376" spans="1:12" x14ac:dyDescent="0.25">
      <c r="A376" t="s">
        <v>150</v>
      </c>
      <c r="B376" t="s">
        <v>181</v>
      </c>
      <c r="C376" t="s">
        <v>141</v>
      </c>
      <c r="D376" t="s">
        <v>163</v>
      </c>
      <c r="E376" t="s">
        <v>5</v>
      </c>
      <c r="F376" t="s">
        <v>12</v>
      </c>
      <c r="G376">
        <v>204161</v>
      </c>
      <c r="H376">
        <v>30</v>
      </c>
      <c r="I376" t="s">
        <v>79</v>
      </c>
      <c r="J376" s="9">
        <v>42186</v>
      </c>
      <c r="K376" s="1">
        <v>6805.3666670000002</v>
      </c>
      <c r="L376" s="1" t="s">
        <v>166</v>
      </c>
    </row>
    <row r="377" spans="1:12" x14ac:dyDescent="0.25">
      <c r="A377" t="s">
        <v>150</v>
      </c>
      <c r="B377" t="s">
        <v>181</v>
      </c>
      <c r="C377" t="s">
        <v>197</v>
      </c>
      <c r="D377" t="s">
        <v>162</v>
      </c>
      <c r="E377" t="s">
        <v>5</v>
      </c>
      <c r="F377" t="s">
        <v>6</v>
      </c>
      <c r="G377">
        <v>229428</v>
      </c>
      <c r="H377">
        <v>42</v>
      </c>
      <c r="I377" t="s">
        <v>82</v>
      </c>
      <c r="J377" s="9">
        <v>42200</v>
      </c>
      <c r="K377" s="1">
        <v>5462.5714289999996</v>
      </c>
      <c r="L377" s="1" t="s">
        <v>166</v>
      </c>
    </row>
    <row r="378" spans="1:12" x14ac:dyDescent="0.25">
      <c r="A378" t="s">
        <v>157</v>
      </c>
      <c r="B378" t="s">
        <v>181</v>
      </c>
      <c r="C378" t="s">
        <v>4</v>
      </c>
      <c r="D378" t="s">
        <v>162</v>
      </c>
      <c r="E378" t="s">
        <v>5</v>
      </c>
      <c r="F378" t="s">
        <v>7</v>
      </c>
      <c r="G378">
        <v>109089</v>
      </c>
      <c r="H378">
        <v>20</v>
      </c>
      <c r="I378" t="s">
        <v>93</v>
      </c>
      <c r="J378" s="9">
        <v>42215</v>
      </c>
      <c r="K378" s="1">
        <v>5454.45</v>
      </c>
      <c r="L378" s="1" t="s">
        <v>165</v>
      </c>
    </row>
    <row r="379" spans="1:12" x14ac:dyDescent="0.25">
      <c r="A379" t="s">
        <v>157</v>
      </c>
      <c r="B379" t="s">
        <v>181</v>
      </c>
      <c r="C379" t="s">
        <v>140</v>
      </c>
      <c r="D379" t="s">
        <v>88</v>
      </c>
      <c r="E379" t="s">
        <v>9</v>
      </c>
      <c r="F379" t="s">
        <v>6</v>
      </c>
      <c r="G379">
        <v>120701</v>
      </c>
      <c r="H379">
        <v>20</v>
      </c>
      <c r="I379" t="s">
        <v>79</v>
      </c>
      <c r="J379" s="9">
        <v>42186</v>
      </c>
      <c r="K379" s="1">
        <v>6035.05</v>
      </c>
      <c r="L379" s="1" t="s">
        <v>165</v>
      </c>
    </row>
    <row r="380" spans="1:12" x14ac:dyDescent="0.25">
      <c r="A380" t="s">
        <v>157</v>
      </c>
      <c r="B380" t="s">
        <v>181</v>
      </c>
      <c r="C380" t="s">
        <v>15</v>
      </c>
      <c r="D380" t="s">
        <v>162</v>
      </c>
      <c r="E380" t="s">
        <v>5</v>
      </c>
      <c r="F380" t="s">
        <v>7</v>
      </c>
      <c r="G380">
        <v>85080</v>
      </c>
      <c r="H380">
        <v>28</v>
      </c>
      <c r="I380" t="s">
        <v>79</v>
      </c>
      <c r="J380" s="9">
        <v>42186</v>
      </c>
      <c r="K380" s="1">
        <v>3038.5714290000001</v>
      </c>
      <c r="L380" s="1" t="s">
        <v>167</v>
      </c>
    </row>
    <row r="381" spans="1:12" x14ac:dyDescent="0.25">
      <c r="A381" t="s">
        <v>157</v>
      </c>
      <c r="B381" t="s">
        <v>181</v>
      </c>
      <c r="C381" t="s">
        <v>124</v>
      </c>
      <c r="D381" t="s">
        <v>162</v>
      </c>
      <c r="E381" t="s">
        <v>5</v>
      </c>
      <c r="F381" t="s">
        <v>7</v>
      </c>
      <c r="G381">
        <v>64098</v>
      </c>
      <c r="H381">
        <v>29</v>
      </c>
      <c r="I381" t="s">
        <v>180</v>
      </c>
      <c r="J381" s="9">
        <v>42186</v>
      </c>
      <c r="K381" s="1">
        <v>2210.275862</v>
      </c>
      <c r="L381" s="1" t="s">
        <v>167</v>
      </c>
    </row>
    <row r="382" spans="1:12" x14ac:dyDescent="0.25">
      <c r="A382" t="s">
        <v>157</v>
      </c>
      <c r="B382" t="s">
        <v>181</v>
      </c>
      <c r="C382" t="s">
        <v>141</v>
      </c>
      <c r="D382" t="s">
        <v>163</v>
      </c>
      <c r="E382" t="s">
        <v>5</v>
      </c>
      <c r="F382" t="s">
        <v>12</v>
      </c>
      <c r="G382">
        <v>91885</v>
      </c>
      <c r="H382">
        <v>26</v>
      </c>
      <c r="I382" t="s">
        <v>82</v>
      </c>
      <c r="J382" s="9">
        <v>42186</v>
      </c>
      <c r="K382" s="1">
        <v>3534.038462</v>
      </c>
      <c r="L382" s="1" t="s">
        <v>167</v>
      </c>
    </row>
    <row r="383" spans="1:12" x14ac:dyDescent="0.25">
      <c r="A383" t="s">
        <v>157</v>
      </c>
      <c r="B383" t="s">
        <v>181</v>
      </c>
      <c r="C383" t="s">
        <v>141</v>
      </c>
      <c r="D383" t="s">
        <v>163</v>
      </c>
      <c r="E383" t="s">
        <v>5</v>
      </c>
      <c r="F383" t="s">
        <v>12</v>
      </c>
      <c r="G383">
        <v>116600</v>
      </c>
      <c r="H383">
        <v>38</v>
      </c>
      <c r="I383" t="s">
        <v>79</v>
      </c>
      <c r="J383" s="9">
        <v>42186</v>
      </c>
      <c r="K383" s="1">
        <v>3068.421053</v>
      </c>
      <c r="L383" s="1" t="s">
        <v>165</v>
      </c>
    </row>
    <row r="384" spans="1:12" x14ac:dyDescent="0.25">
      <c r="A384" t="s">
        <v>157</v>
      </c>
      <c r="B384" t="s">
        <v>181</v>
      </c>
      <c r="C384" t="s">
        <v>141</v>
      </c>
      <c r="D384" t="s">
        <v>85</v>
      </c>
      <c r="E384" t="s">
        <v>5</v>
      </c>
      <c r="F384" t="s">
        <v>12</v>
      </c>
      <c r="G384">
        <v>83595</v>
      </c>
      <c r="H384">
        <v>42</v>
      </c>
      <c r="I384" t="s">
        <v>81</v>
      </c>
      <c r="J384" s="9">
        <v>42186</v>
      </c>
      <c r="K384" s="1">
        <v>1990.357143</v>
      </c>
      <c r="L384" s="1" t="s">
        <v>167</v>
      </c>
    </row>
    <row r="385" spans="1:12" x14ac:dyDescent="0.25">
      <c r="A385" t="s">
        <v>157</v>
      </c>
      <c r="B385" t="s">
        <v>181</v>
      </c>
      <c r="C385" t="s">
        <v>127</v>
      </c>
      <c r="D385" t="s">
        <v>163</v>
      </c>
      <c r="E385" t="s">
        <v>5</v>
      </c>
      <c r="F385" t="s">
        <v>6</v>
      </c>
      <c r="G385">
        <v>148864</v>
      </c>
      <c r="H385">
        <v>40</v>
      </c>
      <c r="I385" t="s">
        <v>79</v>
      </c>
      <c r="J385" s="9">
        <v>42202</v>
      </c>
      <c r="K385" s="1">
        <v>3721.6</v>
      </c>
      <c r="L385" s="1" t="s">
        <v>165</v>
      </c>
    </row>
    <row r="386" spans="1:12" x14ac:dyDescent="0.25">
      <c r="A386" t="s">
        <v>157</v>
      </c>
      <c r="B386" t="s">
        <v>181</v>
      </c>
      <c r="C386" t="s">
        <v>141</v>
      </c>
      <c r="D386" t="s">
        <v>85</v>
      </c>
      <c r="E386" t="s">
        <v>5</v>
      </c>
      <c r="F386" t="s">
        <v>6</v>
      </c>
      <c r="G386">
        <v>173560</v>
      </c>
      <c r="H386">
        <v>28</v>
      </c>
      <c r="I386" t="s">
        <v>79</v>
      </c>
      <c r="J386" s="9">
        <v>42186</v>
      </c>
      <c r="K386" s="1">
        <v>6198.5714289999996</v>
      </c>
      <c r="L386" s="1" t="s">
        <v>165</v>
      </c>
    </row>
    <row r="387" spans="1:12" x14ac:dyDescent="0.25">
      <c r="A387" t="s">
        <v>157</v>
      </c>
      <c r="B387" t="s">
        <v>181</v>
      </c>
      <c r="C387" t="s">
        <v>129</v>
      </c>
      <c r="D387" t="s">
        <v>91</v>
      </c>
      <c r="E387" t="s">
        <v>9</v>
      </c>
      <c r="F387" t="s">
        <v>7</v>
      </c>
      <c r="G387">
        <v>120175</v>
      </c>
      <c r="H387">
        <v>19</v>
      </c>
      <c r="I387" t="s">
        <v>180</v>
      </c>
      <c r="J387" s="9">
        <v>42208</v>
      </c>
      <c r="K387" s="1">
        <v>6325</v>
      </c>
      <c r="L387" s="1" t="s">
        <v>165</v>
      </c>
    </row>
    <row r="388" spans="1:12" x14ac:dyDescent="0.25">
      <c r="A388" t="s">
        <v>157</v>
      </c>
      <c r="B388" t="s">
        <v>181</v>
      </c>
      <c r="C388" t="s">
        <v>60</v>
      </c>
      <c r="D388" t="s">
        <v>88</v>
      </c>
      <c r="E388" t="s">
        <v>9</v>
      </c>
      <c r="F388" t="s">
        <v>7</v>
      </c>
      <c r="G388">
        <v>233088</v>
      </c>
      <c r="H388">
        <v>27</v>
      </c>
      <c r="I388" t="s">
        <v>93</v>
      </c>
      <c r="J388" s="9">
        <v>42216</v>
      </c>
      <c r="K388" s="1">
        <v>8632.8888889999998</v>
      </c>
      <c r="L388" s="1" t="s">
        <v>166</v>
      </c>
    </row>
    <row r="389" spans="1:12" x14ac:dyDescent="0.25">
      <c r="A389" t="s">
        <v>157</v>
      </c>
      <c r="B389" t="s">
        <v>181</v>
      </c>
      <c r="C389" t="s">
        <v>135</v>
      </c>
      <c r="D389" t="s">
        <v>91</v>
      </c>
      <c r="E389" t="s">
        <v>9</v>
      </c>
      <c r="F389" t="s">
        <v>6</v>
      </c>
      <c r="G389">
        <v>220243</v>
      </c>
      <c r="H389">
        <v>30</v>
      </c>
      <c r="I389" t="s">
        <v>79</v>
      </c>
      <c r="J389" s="9">
        <v>42216</v>
      </c>
      <c r="K389" s="1">
        <v>7341.4333329999999</v>
      </c>
      <c r="L389" s="1" t="s">
        <v>166</v>
      </c>
    </row>
    <row r="390" spans="1:12" x14ac:dyDescent="0.25">
      <c r="A390" t="s">
        <v>157</v>
      </c>
      <c r="B390" t="s">
        <v>181</v>
      </c>
      <c r="C390" t="s">
        <v>8</v>
      </c>
      <c r="D390" t="s">
        <v>91</v>
      </c>
      <c r="E390" t="s">
        <v>9</v>
      </c>
      <c r="F390" t="s">
        <v>6</v>
      </c>
      <c r="G390">
        <v>219307</v>
      </c>
      <c r="H390">
        <v>36</v>
      </c>
      <c r="I390" t="s">
        <v>180</v>
      </c>
      <c r="J390" s="9">
        <v>42192</v>
      </c>
      <c r="K390" s="1">
        <v>6091.8611110000002</v>
      </c>
      <c r="L390" s="1" t="s">
        <v>166</v>
      </c>
    </row>
    <row r="391" spans="1:12" x14ac:dyDescent="0.25">
      <c r="A391" t="s">
        <v>157</v>
      </c>
      <c r="B391" t="s">
        <v>181</v>
      </c>
      <c r="C391" t="s">
        <v>52</v>
      </c>
      <c r="D391" t="s">
        <v>91</v>
      </c>
      <c r="E391" t="s">
        <v>9</v>
      </c>
      <c r="F391" t="s">
        <v>6</v>
      </c>
      <c r="G391">
        <v>214123</v>
      </c>
      <c r="H391">
        <v>39</v>
      </c>
      <c r="I391" t="s">
        <v>81</v>
      </c>
      <c r="J391" s="9">
        <v>42216</v>
      </c>
      <c r="K391" s="1">
        <v>5490.3333329999996</v>
      </c>
      <c r="L391" s="1" t="s">
        <v>166</v>
      </c>
    </row>
    <row r="392" spans="1:12" x14ac:dyDescent="0.25">
      <c r="A392" t="s">
        <v>157</v>
      </c>
      <c r="B392" t="s">
        <v>181</v>
      </c>
      <c r="C392" t="s">
        <v>140</v>
      </c>
      <c r="D392" t="s">
        <v>88</v>
      </c>
      <c r="E392" t="s">
        <v>9</v>
      </c>
      <c r="F392" t="s">
        <v>6</v>
      </c>
      <c r="G392">
        <v>85814</v>
      </c>
      <c r="H392">
        <v>29</v>
      </c>
      <c r="I392" t="s">
        <v>79</v>
      </c>
      <c r="J392" s="9">
        <v>42186</v>
      </c>
      <c r="K392" s="1">
        <v>2959.1034479999998</v>
      </c>
      <c r="L392" s="1" t="s">
        <v>167</v>
      </c>
    </row>
    <row r="393" spans="1:12" x14ac:dyDescent="0.25">
      <c r="A393" t="s">
        <v>157</v>
      </c>
      <c r="B393" t="s">
        <v>181</v>
      </c>
      <c r="C393" t="s">
        <v>140</v>
      </c>
      <c r="D393" t="s">
        <v>88</v>
      </c>
      <c r="E393" t="s">
        <v>9</v>
      </c>
      <c r="F393" t="s">
        <v>6</v>
      </c>
      <c r="G393">
        <v>196431</v>
      </c>
      <c r="H393">
        <v>30</v>
      </c>
      <c r="I393" t="s">
        <v>79</v>
      </c>
      <c r="J393" s="9">
        <v>42186</v>
      </c>
      <c r="K393" s="1">
        <v>6547.7</v>
      </c>
      <c r="L393" s="1" t="s">
        <v>165</v>
      </c>
    </row>
    <row r="394" spans="1:12" x14ac:dyDescent="0.25">
      <c r="A394" t="s">
        <v>157</v>
      </c>
      <c r="B394" t="s">
        <v>181</v>
      </c>
      <c r="C394" t="s">
        <v>113</v>
      </c>
      <c r="D394" t="s">
        <v>162</v>
      </c>
      <c r="E394" t="s">
        <v>5</v>
      </c>
      <c r="F394" t="s">
        <v>7</v>
      </c>
      <c r="G394">
        <v>191756</v>
      </c>
      <c r="H394">
        <v>26</v>
      </c>
      <c r="I394" t="s">
        <v>79</v>
      </c>
      <c r="J394" s="9">
        <v>42186</v>
      </c>
      <c r="K394" s="1">
        <v>7375.2307689999998</v>
      </c>
      <c r="L394" s="1" t="s">
        <v>165</v>
      </c>
    </row>
    <row r="395" spans="1:12" x14ac:dyDescent="0.25">
      <c r="A395" t="s">
        <v>157</v>
      </c>
      <c r="B395" t="s">
        <v>181</v>
      </c>
      <c r="C395" t="s">
        <v>126</v>
      </c>
      <c r="D395" t="s">
        <v>91</v>
      </c>
      <c r="E395" t="s">
        <v>9</v>
      </c>
      <c r="F395" t="s">
        <v>7</v>
      </c>
      <c r="G395">
        <v>149397</v>
      </c>
      <c r="H395">
        <v>26</v>
      </c>
      <c r="I395" t="s">
        <v>79</v>
      </c>
      <c r="J395" s="9">
        <v>42186</v>
      </c>
      <c r="K395" s="1">
        <v>5746.0384620000004</v>
      </c>
      <c r="L395" s="1" t="s">
        <v>165</v>
      </c>
    </row>
    <row r="396" spans="1:12" x14ac:dyDescent="0.25">
      <c r="A396" t="s">
        <v>157</v>
      </c>
      <c r="B396" t="s">
        <v>181</v>
      </c>
      <c r="C396" t="s">
        <v>126</v>
      </c>
      <c r="D396" t="s">
        <v>91</v>
      </c>
      <c r="E396" t="s">
        <v>9</v>
      </c>
      <c r="F396" t="s">
        <v>7</v>
      </c>
      <c r="G396">
        <v>133678</v>
      </c>
      <c r="H396">
        <v>42</v>
      </c>
      <c r="I396" t="s">
        <v>81</v>
      </c>
      <c r="J396" s="9">
        <v>42186</v>
      </c>
      <c r="K396" s="1">
        <v>3182.8095239999998</v>
      </c>
      <c r="L396" s="1" t="s">
        <v>165</v>
      </c>
    </row>
    <row r="397" spans="1:12" x14ac:dyDescent="0.25">
      <c r="A397" t="s">
        <v>157</v>
      </c>
      <c r="B397" t="s">
        <v>181</v>
      </c>
      <c r="C397" t="s">
        <v>141</v>
      </c>
      <c r="D397" t="s">
        <v>163</v>
      </c>
      <c r="E397" t="s">
        <v>5</v>
      </c>
      <c r="F397" t="s">
        <v>12</v>
      </c>
      <c r="G397">
        <v>80668</v>
      </c>
      <c r="H397">
        <v>35</v>
      </c>
      <c r="I397" t="s">
        <v>79</v>
      </c>
      <c r="J397" s="9">
        <v>42186</v>
      </c>
      <c r="K397" s="1">
        <v>2304.8000000000002</v>
      </c>
      <c r="L397" s="1" t="s">
        <v>167</v>
      </c>
    </row>
    <row r="398" spans="1:12" x14ac:dyDescent="0.25">
      <c r="A398" t="s">
        <v>157</v>
      </c>
      <c r="B398" t="s">
        <v>181</v>
      </c>
      <c r="C398" t="s">
        <v>141</v>
      </c>
      <c r="D398" t="s">
        <v>85</v>
      </c>
      <c r="E398" t="s">
        <v>5</v>
      </c>
      <c r="F398" t="s">
        <v>12</v>
      </c>
      <c r="G398">
        <v>81427</v>
      </c>
      <c r="H398">
        <v>39</v>
      </c>
      <c r="I398" t="s">
        <v>81</v>
      </c>
      <c r="J398" s="9">
        <v>42186</v>
      </c>
      <c r="K398" s="1">
        <v>2087.871795</v>
      </c>
      <c r="L398" s="1" t="s">
        <v>167</v>
      </c>
    </row>
    <row r="399" spans="1:12" x14ac:dyDescent="0.25">
      <c r="A399" t="s">
        <v>157</v>
      </c>
      <c r="B399" t="s">
        <v>181</v>
      </c>
      <c r="C399" t="s">
        <v>141</v>
      </c>
      <c r="D399" t="s">
        <v>85</v>
      </c>
      <c r="E399" t="s">
        <v>5</v>
      </c>
      <c r="F399" t="s">
        <v>12</v>
      </c>
      <c r="G399">
        <v>151115</v>
      </c>
      <c r="H399">
        <v>35</v>
      </c>
      <c r="I399" t="s">
        <v>79</v>
      </c>
      <c r="J399" s="9">
        <v>42186</v>
      </c>
      <c r="K399" s="1">
        <v>4317.5714289999996</v>
      </c>
      <c r="L399" s="1" t="s">
        <v>165</v>
      </c>
    </row>
    <row r="400" spans="1:12" x14ac:dyDescent="0.25">
      <c r="A400" t="s">
        <v>157</v>
      </c>
      <c r="B400" t="s">
        <v>181</v>
      </c>
      <c r="C400" t="s">
        <v>141</v>
      </c>
      <c r="D400" t="s">
        <v>85</v>
      </c>
      <c r="E400" t="s">
        <v>5</v>
      </c>
      <c r="F400" t="s">
        <v>6</v>
      </c>
      <c r="G400">
        <v>101943</v>
      </c>
      <c r="H400">
        <v>33</v>
      </c>
      <c r="I400" t="s">
        <v>81</v>
      </c>
      <c r="J400" s="9">
        <v>42186</v>
      </c>
      <c r="K400" s="1">
        <v>3089.181818</v>
      </c>
      <c r="L400" s="1" t="s">
        <v>165</v>
      </c>
    </row>
    <row r="401" spans="1:12" x14ac:dyDescent="0.25">
      <c r="A401" t="s">
        <v>157</v>
      </c>
      <c r="B401" t="s">
        <v>181</v>
      </c>
      <c r="C401" t="s">
        <v>187</v>
      </c>
      <c r="D401" t="s">
        <v>162</v>
      </c>
      <c r="E401" t="s">
        <v>5</v>
      </c>
      <c r="F401" t="s">
        <v>7</v>
      </c>
      <c r="G401">
        <v>220780</v>
      </c>
      <c r="H401">
        <v>34</v>
      </c>
      <c r="I401" t="s">
        <v>82</v>
      </c>
      <c r="J401" s="9">
        <v>42215</v>
      </c>
      <c r="K401" s="1">
        <v>6493.5294119999999</v>
      </c>
      <c r="L401" s="1" t="s">
        <v>166</v>
      </c>
    </row>
    <row r="402" spans="1:12" x14ac:dyDescent="0.25">
      <c r="A402" t="s">
        <v>157</v>
      </c>
      <c r="B402" t="s">
        <v>181</v>
      </c>
      <c r="C402" t="s">
        <v>51</v>
      </c>
      <c r="D402" t="s">
        <v>91</v>
      </c>
      <c r="E402" t="s">
        <v>9</v>
      </c>
      <c r="F402" t="s">
        <v>6</v>
      </c>
      <c r="G402">
        <v>63871</v>
      </c>
      <c r="H402">
        <v>18</v>
      </c>
      <c r="I402" t="s">
        <v>79</v>
      </c>
      <c r="J402" s="9">
        <v>42190</v>
      </c>
      <c r="K402" s="1">
        <v>3548.3888889999998</v>
      </c>
      <c r="L402" s="1" t="s">
        <v>167</v>
      </c>
    </row>
    <row r="403" spans="1:12" x14ac:dyDescent="0.25">
      <c r="A403" t="s">
        <v>157</v>
      </c>
      <c r="B403" t="s">
        <v>181</v>
      </c>
      <c r="C403" t="s">
        <v>54</v>
      </c>
      <c r="D403" t="s">
        <v>163</v>
      </c>
      <c r="E403" t="s">
        <v>5</v>
      </c>
      <c r="F403" t="s">
        <v>10</v>
      </c>
      <c r="G403">
        <v>53014</v>
      </c>
      <c r="H403">
        <v>27</v>
      </c>
      <c r="I403" t="s">
        <v>81</v>
      </c>
      <c r="J403" s="9">
        <v>42186</v>
      </c>
      <c r="K403" s="1">
        <v>1963.481481</v>
      </c>
      <c r="L403" s="1" t="s">
        <v>167</v>
      </c>
    </row>
    <row r="404" spans="1:12" x14ac:dyDescent="0.25">
      <c r="A404" t="s">
        <v>157</v>
      </c>
      <c r="B404" t="s">
        <v>181</v>
      </c>
      <c r="C404" t="s">
        <v>140</v>
      </c>
      <c r="D404" t="s">
        <v>88</v>
      </c>
      <c r="E404" t="s">
        <v>9</v>
      </c>
      <c r="F404" t="s">
        <v>6</v>
      </c>
      <c r="G404">
        <v>181176</v>
      </c>
      <c r="H404">
        <v>15</v>
      </c>
      <c r="I404" t="s">
        <v>180</v>
      </c>
      <c r="J404" s="9">
        <v>42186</v>
      </c>
      <c r="K404" s="1">
        <v>12078.4</v>
      </c>
      <c r="L404" s="1" t="s">
        <v>165</v>
      </c>
    </row>
    <row r="405" spans="1:12" x14ac:dyDescent="0.25">
      <c r="A405" t="s">
        <v>157</v>
      </c>
      <c r="B405" t="s">
        <v>181</v>
      </c>
      <c r="C405" t="s">
        <v>32</v>
      </c>
      <c r="D405" t="s">
        <v>163</v>
      </c>
      <c r="E405" t="s">
        <v>5</v>
      </c>
      <c r="F405" t="s">
        <v>7</v>
      </c>
      <c r="G405">
        <v>114232</v>
      </c>
      <c r="H405">
        <v>35</v>
      </c>
      <c r="I405" t="s">
        <v>180</v>
      </c>
      <c r="J405" s="9">
        <v>42195</v>
      </c>
      <c r="K405" s="1">
        <v>3263.7714289999999</v>
      </c>
      <c r="L405" s="1" t="s">
        <v>165</v>
      </c>
    </row>
    <row r="406" spans="1:12" x14ac:dyDescent="0.25">
      <c r="A406" t="s">
        <v>157</v>
      </c>
      <c r="B406" t="s">
        <v>181</v>
      </c>
      <c r="C406" t="s">
        <v>129</v>
      </c>
      <c r="D406" t="s">
        <v>91</v>
      </c>
      <c r="E406" t="s">
        <v>9</v>
      </c>
      <c r="F406" t="s">
        <v>6</v>
      </c>
      <c r="G406">
        <v>97938</v>
      </c>
      <c r="H406">
        <v>35</v>
      </c>
      <c r="I406" t="s">
        <v>79</v>
      </c>
      <c r="J406" s="9">
        <v>42216</v>
      </c>
      <c r="K406" s="1">
        <v>2798.2285710000001</v>
      </c>
      <c r="L406" s="1" t="s">
        <v>167</v>
      </c>
    </row>
    <row r="407" spans="1:12" x14ac:dyDescent="0.25">
      <c r="A407" t="s">
        <v>157</v>
      </c>
      <c r="B407" t="s">
        <v>181</v>
      </c>
      <c r="C407" t="s">
        <v>192</v>
      </c>
      <c r="D407" t="s">
        <v>162</v>
      </c>
      <c r="E407" t="s">
        <v>5</v>
      </c>
      <c r="F407" t="s">
        <v>6</v>
      </c>
      <c r="G407">
        <v>160668</v>
      </c>
      <c r="H407">
        <v>25</v>
      </c>
      <c r="I407" t="s">
        <v>180</v>
      </c>
      <c r="J407" s="9">
        <v>42215</v>
      </c>
      <c r="K407" s="1">
        <v>6426.72</v>
      </c>
      <c r="L407" s="1" t="s">
        <v>165</v>
      </c>
    </row>
    <row r="408" spans="1:12" x14ac:dyDescent="0.25">
      <c r="A408" t="s">
        <v>157</v>
      </c>
      <c r="B408" t="s">
        <v>181</v>
      </c>
      <c r="C408" t="s">
        <v>147</v>
      </c>
      <c r="D408" t="s">
        <v>91</v>
      </c>
      <c r="E408" t="s">
        <v>9</v>
      </c>
      <c r="F408" t="s">
        <v>6</v>
      </c>
      <c r="G408">
        <v>159094</v>
      </c>
      <c r="H408">
        <v>17</v>
      </c>
      <c r="I408" t="s">
        <v>79</v>
      </c>
      <c r="J408" s="9">
        <v>42186</v>
      </c>
      <c r="K408" s="1">
        <v>9358.4705880000001</v>
      </c>
      <c r="L408" s="1" t="s">
        <v>165</v>
      </c>
    </row>
    <row r="409" spans="1:12" x14ac:dyDescent="0.25">
      <c r="A409" t="s">
        <v>157</v>
      </c>
      <c r="B409" t="s">
        <v>181</v>
      </c>
      <c r="C409" t="s">
        <v>113</v>
      </c>
      <c r="D409" t="s">
        <v>162</v>
      </c>
      <c r="E409" t="s">
        <v>5</v>
      </c>
      <c r="F409" t="s">
        <v>7</v>
      </c>
      <c r="G409">
        <v>145503</v>
      </c>
      <c r="H409">
        <v>27</v>
      </c>
      <c r="I409" t="s">
        <v>79</v>
      </c>
      <c r="J409" s="9">
        <v>42186</v>
      </c>
      <c r="K409" s="1">
        <v>5389</v>
      </c>
      <c r="L409" s="1" t="s">
        <v>165</v>
      </c>
    </row>
    <row r="410" spans="1:12" x14ac:dyDescent="0.25">
      <c r="A410" t="s">
        <v>157</v>
      </c>
      <c r="B410" t="s">
        <v>181</v>
      </c>
      <c r="C410" t="s">
        <v>141</v>
      </c>
      <c r="D410" t="s">
        <v>163</v>
      </c>
      <c r="E410" t="s">
        <v>5</v>
      </c>
      <c r="F410" t="s">
        <v>12</v>
      </c>
      <c r="G410">
        <v>145459</v>
      </c>
      <c r="H410">
        <v>18</v>
      </c>
      <c r="I410" t="s">
        <v>79</v>
      </c>
      <c r="J410" s="9">
        <v>42186</v>
      </c>
      <c r="K410" s="1">
        <v>8081.0555560000003</v>
      </c>
      <c r="L410" s="1" t="s">
        <v>165</v>
      </c>
    </row>
    <row r="411" spans="1:12" x14ac:dyDescent="0.25">
      <c r="A411" t="s">
        <v>157</v>
      </c>
      <c r="B411" t="s">
        <v>181</v>
      </c>
      <c r="C411" t="s">
        <v>187</v>
      </c>
      <c r="D411" t="s">
        <v>91</v>
      </c>
      <c r="E411" t="s">
        <v>9</v>
      </c>
      <c r="F411" t="s">
        <v>7</v>
      </c>
      <c r="G411">
        <v>202862</v>
      </c>
      <c r="H411">
        <v>35</v>
      </c>
      <c r="I411" t="s">
        <v>180</v>
      </c>
      <c r="J411" s="9">
        <v>42208</v>
      </c>
      <c r="K411" s="1">
        <v>5796.057143</v>
      </c>
      <c r="L411" s="1" t="s">
        <v>166</v>
      </c>
    </row>
    <row r="412" spans="1:12" x14ac:dyDescent="0.25">
      <c r="A412" t="s">
        <v>157</v>
      </c>
      <c r="B412" t="s">
        <v>181</v>
      </c>
      <c r="C412" t="s">
        <v>127</v>
      </c>
      <c r="D412" t="s">
        <v>162</v>
      </c>
      <c r="E412" t="s">
        <v>5</v>
      </c>
      <c r="F412" t="s">
        <v>6</v>
      </c>
      <c r="G412">
        <v>198428</v>
      </c>
      <c r="H412">
        <v>29</v>
      </c>
      <c r="I412" t="s">
        <v>93</v>
      </c>
      <c r="J412" s="9">
        <v>42195</v>
      </c>
      <c r="K412" s="1">
        <v>6842.3448280000002</v>
      </c>
      <c r="L412" s="1" t="s">
        <v>165</v>
      </c>
    </row>
    <row r="413" spans="1:12" x14ac:dyDescent="0.25">
      <c r="A413" t="s">
        <v>157</v>
      </c>
      <c r="B413" t="s">
        <v>181</v>
      </c>
      <c r="C413" t="s">
        <v>140</v>
      </c>
      <c r="D413" t="s">
        <v>88</v>
      </c>
      <c r="E413" t="s">
        <v>9</v>
      </c>
      <c r="F413" t="s">
        <v>6</v>
      </c>
      <c r="G413">
        <v>66793</v>
      </c>
      <c r="H413">
        <v>32</v>
      </c>
      <c r="I413" t="s">
        <v>81</v>
      </c>
      <c r="J413" s="9">
        <v>42186</v>
      </c>
      <c r="K413" s="1">
        <v>2087.28125</v>
      </c>
      <c r="L413" s="1" t="s">
        <v>167</v>
      </c>
    </row>
    <row r="414" spans="1:12" x14ac:dyDescent="0.25">
      <c r="A414" t="s">
        <v>157</v>
      </c>
      <c r="B414" t="s">
        <v>181</v>
      </c>
      <c r="C414" t="s">
        <v>58</v>
      </c>
      <c r="D414" t="s">
        <v>162</v>
      </c>
      <c r="E414" t="s">
        <v>5</v>
      </c>
      <c r="F414" t="s">
        <v>7</v>
      </c>
      <c r="G414">
        <v>239300</v>
      </c>
      <c r="H414">
        <v>16</v>
      </c>
      <c r="I414" t="s">
        <v>79</v>
      </c>
      <c r="J414" s="9">
        <v>42186</v>
      </c>
      <c r="K414" s="1">
        <v>14956.25</v>
      </c>
      <c r="L414" s="1" t="s">
        <v>166</v>
      </c>
    </row>
    <row r="415" spans="1:12" x14ac:dyDescent="0.25">
      <c r="A415" t="s">
        <v>157</v>
      </c>
      <c r="B415" t="s">
        <v>181</v>
      </c>
      <c r="C415" t="s">
        <v>126</v>
      </c>
      <c r="D415" t="s">
        <v>91</v>
      </c>
      <c r="E415" t="s">
        <v>9</v>
      </c>
      <c r="F415" t="s">
        <v>7</v>
      </c>
      <c r="G415">
        <v>155280</v>
      </c>
      <c r="H415">
        <v>30</v>
      </c>
      <c r="I415" t="s">
        <v>79</v>
      </c>
      <c r="J415" s="9">
        <v>42186</v>
      </c>
      <c r="K415" s="1">
        <v>5176</v>
      </c>
      <c r="L415" s="1" t="s">
        <v>165</v>
      </c>
    </row>
    <row r="416" spans="1:12" x14ac:dyDescent="0.25">
      <c r="A416" t="s">
        <v>157</v>
      </c>
      <c r="B416" t="s">
        <v>181</v>
      </c>
      <c r="C416" t="s">
        <v>141</v>
      </c>
      <c r="D416" t="s">
        <v>163</v>
      </c>
      <c r="E416" t="s">
        <v>5</v>
      </c>
      <c r="F416" t="s">
        <v>12</v>
      </c>
      <c r="G416">
        <v>117727</v>
      </c>
      <c r="H416">
        <v>28</v>
      </c>
      <c r="I416" t="s">
        <v>79</v>
      </c>
      <c r="J416" s="9">
        <v>42186</v>
      </c>
      <c r="K416" s="1">
        <v>4204.5357139999996</v>
      </c>
      <c r="L416" s="1" t="s">
        <v>165</v>
      </c>
    </row>
    <row r="417" spans="1:12" x14ac:dyDescent="0.25">
      <c r="A417" t="s">
        <v>157</v>
      </c>
      <c r="B417" t="s">
        <v>181</v>
      </c>
      <c r="C417" t="s">
        <v>144</v>
      </c>
      <c r="D417" t="s">
        <v>85</v>
      </c>
      <c r="E417" t="s">
        <v>5</v>
      </c>
      <c r="F417" t="s">
        <v>6</v>
      </c>
      <c r="G417">
        <v>214851</v>
      </c>
      <c r="H417">
        <v>35</v>
      </c>
      <c r="I417" t="s">
        <v>81</v>
      </c>
      <c r="J417" s="9">
        <v>42186</v>
      </c>
      <c r="K417" s="1">
        <v>6138.6</v>
      </c>
      <c r="L417" s="1" t="s">
        <v>166</v>
      </c>
    </row>
    <row r="418" spans="1:12" x14ac:dyDescent="0.25">
      <c r="A418" t="s">
        <v>157</v>
      </c>
      <c r="B418" t="s">
        <v>181</v>
      </c>
      <c r="C418" t="s">
        <v>52</v>
      </c>
      <c r="D418" t="s">
        <v>91</v>
      </c>
      <c r="E418" t="s">
        <v>9</v>
      </c>
      <c r="F418" t="s">
        <v>6</v>
      </c>
      <c r="G418">
        <v>157862</v>
      </c>
      <c r="H418">
        <v>22</v>
      </c>
      <c r="I418" t="s">
        <v>81</v>
      </c>
      <c r="J418" s="9">
        <v>42216</v>
      </c>
      <c r="K418" s="1">
        <v>7175.5454550000004</v>
      </c>
      <c r="L418" s="1" t="s">
        <v>165</v>
      </c>
    </row>
    <row r="419" spans="1:12" x14ac:dyDescent="0.25">
      <c r="A419" t="s">
        <v>157</v>
      </c>
      <c r="B419" t="s">
        <v>181</v>
      </c>
      <c r="C419" t="s">
        <v>113</v>
      </c>
      <c r="D419" t="s">
        <v>162</v>
      </c>
      <c r="E419" t="s">
        <v>5</v>
      </c>
      <c r="F419" t="s">
        <v>7</v>
      </c>
      <c r="G419">
        <v>89788</v>
      </c>
      <c r="H419">
        <v>34</v>
      </c>
      <c r="I419" t="s">
        <v>79</v>
      </c>
      <c r="J419" s="9">
        <v>42186</v>
      </c>
      <c r="K419" s="1">
        <v>2640.8235289999998</v>
      </c>
      <c r="L419" s="1" t="s">
        <v>167</v>
      </c>
    </row>
    <row r="420" spans="1:12" x14ac:dyDescent="0.25">
      <c r="A420" t="s">
        <v>157</v>
      </c>
      <c r="B420" t="s">
        <v>181</v>
      </c>
      <c r="C420" t="s">
        <v>187</v>
      </c>
      <c r="D420" t="s">
        <v>91</v>
      </c>
      <c r="E420" t="s">
        <v>9</v>
      </c>
      <c r="F420" t="s">
        <v>7</v>
      </c>
      <c r="G420">
        <v>210899</v>
      </c>
      <c r="H420">
        <v>17</v>
      </c>
      <c r="I420" t="s">
        <v>180</v>
      </c>
      <c r="J420" s="9">
        <v>42209</v>
      </c>
      <c r="K420" s="1">
        <v>12405.82353</v>
      </c>
      <c r="L420" s="1" t="s">
        <v>166</v>
      </c>
    </row>
    <row r="421" spans="1:12" x14ac:dyDescent="0.25">
      <c r="A421" t="s">
        <v>157</v>
      </c>
      <c r="B421" t="s">
        <v>181</v>
      </c>
      <c r="C421" t="s">
        <v>56</v>
      </c>
      <c r="D421" t="s">
        <v>88</v>
      </c>
      <c r="E421" t="s">
        <v>9</v>
      </c>
      <c r="F421" t="s">
        <v>6</v>
      </c>
      <c r="G421">
        <v>231912</v>
      </c>
      <c r="H421">
        <v>18</v>
      </c>
      <c r="I421" t="s">
        <v>81</v>
      </c>
      <c r="J421" s="9">
        <v>42215</v>
      </c>
      <c r="K421" s="1">
        <v>12884</v>
      </c>
      <c r="L421" s="1" t="s">
        <v>166</v>
      </c>
    </row>
    <row r="422" spans="1:12" x14ac:dyDescent="0.25">
      <c r="A422" t="s">
        <v>157</v>
      </c>
      <c r="B422" t="s">
        <v>181</v>
      </c>
      <c r="C422" t="s">
        <v>192</v>
      </c>
      <c r="D422" t="s">
        <v>162</v>
      </c>
      <c r="E422" t="s">
        <v>5</v>
      </c>
      <c r="F422" t="s">
        <v>6</v>
      </c>
      <c r="G422">
        <v>226176</v>
      </c>
      <c r="H422">
        <v>41</v>
      </c>
      <c r="I422" t="s">
        <v>93</v>
      </c>
      <c r="J422" s="9">
        <v>42216</v>
      </c>
      <c r="K422" s="1">
        <v>5516.4878049999998</v>
      </c>
      <c r="L422" s="1" t="s">
        <v>166</v>
      </c>
    </row>
    <row r="423" spans="1:12" x14ac:dyDescent="0.25">
      <c r="A423" t="s">
        <v>157</v>
      </c>
      <c r="B423" t="s">
        <v>181</v>
      </c>
      <c r="C423" t="s">
        <v>20</v>
      </c>
      <c r="D423" t="s">
        <v>87</v>
      </c>
      <c r="E423" t="s">
        <v>9</v>
      </c>
      <c r="F423" t="s">
        <v>12</v>
      </c>
      <c r="G423">
        <v>145869</v>
      </c>
      <c r="H423">
        <v>27</v>
      </c>
      <c r="I423" t="s">
        <v>79</v>
      </c>
      <c r="J423" s="9">
        <v>42194</v>
      </c>
      <c r="K423" s="1">
        <v>5402.5555560000003</v>
      </c>
      <c r="L423" s="1" t="s">
        <v>165</v>
      </c>
    </row>
    <row r="424" spans="1:12" x14ac:dyDescent="0.25">
      <c r="A424" t="s">
        <v>157</v>
      </c>
      <c r="B424" t="s">
        <v>181</v>
      </c>
      <c r="C424" t="s">
        <v>51</v>
      </c>
      <c r="D424" t="s">
        <v>91</v>
      </c>
      <c r="E424" t="s">
        <v>9</v>
      </c>
      <c r="F424" t="s">
        <v>6</v>
      </c>
      <c r="G424">
        <v>153948</v>
      </c>
      <c r="H424">
        <v>15</v>
      </c>
      <c r="I424" t="s">
        <v>180</v>
      </c>
      <c r="J424" s="9">
        <v>42190</v>
      </c>
      <c r="K424" s="1">
        <v>10263.200000000001</v>
      </c>
      <c r="L424" s="1" t="s">
        <v>165</v>
      </c>
    </row>
    <row r="425" spans="1:12" x14ac:dyDescent="0.25">
      <c r="A425" t="s">
        <v>157</v>
      </c>
      <c r="B425" t="s">
        <v>181</v>
      </c>
      <c r="C425" t="s">
        <v>140</v>
      </c>
      <c r="D425" t="s">
        <v>88</v>
      </c>
      <c r="E425" t="s">
        <v>9</v>
      </c>
      <c r="F425" t="s">
        <v>6</v>
      </c>
      <c r="G425">
        <v>192645</v>
      </c>
      <c r="H425">
        <v>29</v>
      </c>
      <c r="I425" t="s">
        <v>180</v>
      </c>
      <c r="J425" s="9">
        <v>42186</v>
      </c>
      <c r="K425" s="1">
        <v>6642.9310340000002</v>
      </c>
      <c r="L425" s="1" t="s">
        <v>165</v>
      </c>
    </row>
    <row r="426" spans="1:12" x14ac:dyDescent="0.25">
      <c r="A426" t="s">
        <v>157</v>
      </c>
      <c r="B426" t="s">
        <v>181</v>
      </c>
      <c r="C426" t="s">
        <v>140</v>
      </c>
      <c r="D426" t="s">
        <v>88</v>
      </c>
      <c r="E426" t="s">
        <v>9</v>
      </c>
      <c r="F426" t="s">
        <v>6</v>
      </c>
      <c r="G426">
        <v>217306</v>
      </c>
      <c r="H426">
        <v>19</v>
      </c>
      <c r="I426" t="s">
        <v>180</v>
      </c>
      <c r="J426" s="9">
        <v>42186</v>
      </c>
      <c r="K426" s="1">
        <v>11437.15789</v>
      </c>
      <c r="L426" s="1" t="s">
        <v>166</v>
      </c>
    </row>
    <row r="427" spans="1:12" x14ac:dyDescent="0.25">
      <c r="A427" t="s">
        <v>157</v>
      </c>
      <c r="B427" t="s">
        <v>181</v>
      </c>
      <c r="C427" t="s">
        <v>144</v>
      </c>
      <c r="D427" t="s">
        <v>85</v>
      </c>
      <c r="E427" t="s">
        <v>5</v>
      </c>
      <c r="F427" t="s">
        <v>12</v>
      </c>
      <c r="G427">
        <v>117698</v>
      </c>
      <c r="H427">
        <v>18</v>
      </c>
      <c r="I427" t="s">
        <v>79</v>
      </c>
      <c r="J427" s="9">
        <v>42186</v>
      </c>
      <c r="K427" s="1">
        <v>6538.7777779999997</v>
      </c>
      <c r="L427" s="1" t="s">
        <v>165</v>
      </c>
    </row>
    <row r="428" spans="1:12" x14ac:dyDescent="0.25">
      <c r="A428" t="s">
        <v>157</v>
      </c>
      <c r="B428" t="s">
        <v>181</v>
      </c>
      <c r="C428" t="s">
        <v>123</v>
      </c>
      <c r="D428" t="s">
        <v>163</v>
      </c>
      <c r="E428" t="s">
        <v>5</v>
      </c>
      <c r="F428" t="s">
        <v>6</v>
      </c>
      <c r="G428">
        <v>169781</v>
      </c>
      <c r="H428">
        <v>32</v>
      </c>
      <c r="I428" t="s">
        <v>81</v>
      </c>
      <c r="J428" s="9">
        <v>42186</v>
      </c>
      <c r="K428" s="1">
        <v>5305.65625</v>
      </c>
      <c r="L428" s="1" t="s">
        <v>165</v>
      </c>
    </row>
    <row r="429" spans="1:12" x14ac:dyDescent="0.25">
      <c r="A429" t="s">
        <v>157</v>
      </c>
      <c r="B429" t="s">
        <v>181</v>
      </c>
      <c r="C429" t="s">
        <v>123</v>
      </c>
      <c r="D429" t="s">
        <v>163</v>
      </c>
      <c r="E429" t="s">
        <v>5</v>
      </c>
      <c r="F429" t="s">
        <v>6</v>
      </c>
      <c r="G429">
        <v>183462</v>
      </c>
      <c r="H429">
        <v>24</v>
      </c>
      <c r="I429" t="s">
        <v>81</v>
      </c>
      <c r="J429" s="9">
        <v>42186</v>
      </c>
      <c r="K429" s="1">
        <v>7644.25</v>
      </c>
      <c r="L429" s="1" t="s">
        <v>165</v>
      </c>
    </row>
    <row r="430" spans="1:12" x14ac:dyDescent="0.25">
      <c r="A430" t="s">
        <v>151</v>
      </c>
      <c r="B430" t="s">
        <v>181</v>
      </c>
      <c r="C430" t="s">
        <v>185</v>
      </c>
      <c r="D430" t="s">
        <v>162</v>
      </c>
      <c r="E430" t="s">
        <v>5</v>
      </c>
      <c r="F430" t="s">
        <v>10</v>
      </c>
      <c r="G430">
        <v>61233</v>
      </c>
      <c r="H430">
        <v>29</v>
      </c>
      <c r="I430" t="s">
        <v>81</v>
      </c>
      <c r="J430" s="9">
        <v>42209</v>
      </c>
      <c r="K430" s="1">
        <v>2111.482759</v>
      </c>
      <c r="L430" s="1" t="s">
        <v>167</v>
      </c>
    </row>
    <row r="431" spans="1:12" x14ac:dyDescent="0.25">
      <c r="A431" t="s">
        <v>151</v>
      </c>
      <c r="B431" t="s">
        <v>181</v>
      </c>
      <c r="C431" t="s">
        <v>140</v>
      </c>
      <c r="D431" t="s">
        <v>88</v>
      </c>
      <c r="E431" t="s">
        <v>9</v>
      </c>
      <c r="F431" t="s">
        <v>6</v>
      </c>
      <c r="G431">
        <v>237984</v>
      </c>
      <c r="H431">
        <v>41</v>
      </c>
      <c r="I431" t="s">
        <v>81</v>
      </c>
      <c r="J431" s="9">
        <v>42186</v>
      </c>
      <c r="K431" s="1">
        <v>5804.4878049999998</v>
      </c>
      <c r="L431" s="1" t="s">
        <v>166</v>
      </c>
    </row>
    <row r="432" spans="1:12" x14ac:dyDescent="0.25">
      <c r="A432" t="s">
        <v>151</v>
      </c>
      <c r="B432" t="s">
        <v>181</v>
      </c>
      <c r="C432" t="s">
        <v>58</v>
      </c>
      <c r="D432" t="s">
        <v>162</v>
      </c>
      <c r="E432" t="s">
        <v>5</v>
      </c>
      <c r="F432" t="s">
        <v>7</v>
      </c>
      <c r="G432">
        <v>192611</v>
      </c>
      <c r="H432">
        <v>33</v>
      </c>
      <c r="I432" t="s">
        <v>180</v>
      </c>
      <c r="J432" s="9">
        <v>42186</v>
      </c>
      <c r="K432" s="1">
        <v>5836.69697</v>
      </c>
      <c r="L432" s="1" t="s">
        <v>165</v>
      </c>
    </row>
    <row r="433" spans="1:12" x14ac:dyDescent="0.25">
      <c r="A433" t="s">
        <v>151</v>
      </c>
      <c r="B433" t="s">
        <v>181</v>
      </c>
      <c r="C433" t="s">
        <v>126</v>
      </c>
      <c r="D433" t="s">
        <v>91</v>
      </c>
      <c r="E433" t="s">
        <v>9</v>
      </c>
      <c r="F433" t="s">
        <v>7</v>
      </c>
      <c r="G433">
        <v>101061</v>
      </c>
      <c r="H433">
        <v>34</v>
      </c>
      <c r="I433" t="s">
        <v>82</v>
      </c>
      <c r="J433" s="9">
        <v>42186</v>
      </c>
      <c r="K433" s="1">
        <v>2972.382353</v>
      </c>
      <c r="L433" s="1" t="s">
        <v>165</v>
      </c>
    </row>
    <row r="434" spans="1:12" x14ac:dyDescent="0.25">
      <c r="A434" t="s">
        <v>151</v>
      </c>
      <c r="B434" t="s">
        <v>181</v>
      </c>
      <c r="C434" t="s">
        <v>126</v>
      </c>
      <c r="D434" t="s">
        <v>91</v>
      </c>
      <c r="E434" t="s">
        <v>9</v>
      </c>
      <c r="F434" t="s">
        <v>7</v>
      </c>
      <c r="G434">
        <v>92899</v>
      </c>
      <c r="H434">
        <v>20</v>
      </c>
      <c r="I434" t="s">
        <v>79</v>
      </c>
      <c r="J434" s="9">
        <v>42186</v>
      </c>
      <c r="K434" s="1">
        <v>4644.95</v>
      </c>
      <c r="L434" s="1" t="s">
        <v>167</v>
      </c>
    </row>
    <row r="435" spans="1:12" x14ac:dyDescent="0.25">
      <c r="A435" t="s">
        <v>151</v>
      </c>
      <c r="B435" t="s">
        <v>181</v>
      </c>
      <c r="C435" t="s">
        <v>126</v>
      </c>
      <c r="D435" t="s">
        <v>91</v>
      </c>
      <c r="E435" t="s">
        <v>9</v>
      </c>
      <c r="F435" t="s">
        <v>7</v>
      </c>
      <c r="G435">
        <v>219790</v>
      </c>
      <c r="H435">
        <v>25</v>
      </c>
      <c r="I435" t="s">
        <v>180</v>
      </c>
      <c r="J435" s="9">
        <v>42186</v>
      </c>
      <c r="K435" s="1">
        <v>8791.6</v>
      </c>
      <c r="L435" s="1" t="s">
        <v>166</v>
      </c>
    </row>
    <row r="436" spans="1:12" x14ac:dyDescent="0.25">
      <c r="A436" t="s">
        <v>151</v>
      </c>
      <c r="B436" t="s">
        <v>181</v>
      </c>
      <c r="C436" t="s">
        <v>126</v>
      </c>
      <c r="D436" t="s">
        <v>91</v>
      </c>
      <c r="E436" t="s">
        <v>9</v>
      </c>
      <c r="F436" t="s">
        <v>7</v>
      </c>
      <c r="G436">
        <v>139039</v>
      </c>
      <c r="H436">
        <v>34</v>
      </c>
      <c r="I436" t="s">
        <v>81</v>
      </c>
      <c r="J436" s="9">
        <v>42186</v>
      </c>
      <c r="K436" s="1">
        <v>4089.382353</v>
      </c>
      <c r="L436" s="1" t="s">
        <v>165</v>
      </c>
    </row>
    <row r="437" spans="1:12" x14ac:dyDescent="0.25">
      <c r="A437" t="s">
        <v>151</v>
      </c>
      <c r="B437" t="s">
        <v>181</v>
      </c>
      <c r="C437" t="s">
        <v>144</v>
      </c>
      <c r="D437" t="s">
        <v>163</v>
      </c>
      <c r="E437" t="s">
        <v>5</v>
      </c>
      <c r="F437" t="s">
        <v>12</v>
      </c>
      <c r="G437">
        <v>143488</v>
      </c>
      <c r="H437">
        <v>28</v>
      </c>
      <c r="I437" t="s">
        <v>79</v>
      </c>
      <c r="J437" s="9">
        <v>42186</v>
      </c>
      <c r="K437" s="1">
        <v>5124.5714289999996</v>
      </c>
      <c r="L437" s="1" t="s">
        <v>165</v>
      </c>
    </row>
    <row r="438" spans="1:12" x14ac:dyDescent="0.25">
      <c r="A438" t="s">
        <v>151</v>
      </c>
      <c r="B438" t="s">
        <v>181</v>
      </c>
      <c r="C438" t="s">
        <v>144</v>
      </c>
      <c r="D438" t="s">
        <v>85</v>
      </c>
      <c r="E438" t="s">
        <v>5</v>
      </c>
      <c r="F438" t="s">
        <v>12</v>
      </c>
      <c r="G438">
        <v>246692</v>
      </c>
      <c r="H438">
        <v>39</v>
      </c>
      <c r="I438" t="s">
        <v>81</v>
      </c>
      <c r="J438" s="9">
        <v>42186</v>
      </c>
      <c r="K438" s="1">
        <v>6325.4358970000003</v>
      </c>
      <c r="L438" s="1" t="s">
        <v>166</v>
      </c>
    </row>
    <row r="439" spans="1:12" x14ac:dyDescent="0.25">
      <c r="A439" t="s">
        <v>151</v>
      </c>
      <c r="B439" t="s">
        <v>181</v>
      </c>
      <c r="C439" t="s">
        <v>127</v>
      </c>
      <c r="D439" t="s">
        <v>163</v>
      </c>
      <c r="E439" t="s">
        <v>5</v>
      </c>
      <c r="F439" t="s">
        <v>6</v>
      </c>
      <c r="G439">
        <v>68670</v>
      </c>
      <c r="H439">
        <v>27</v>
      </c>
      <c r="I439" t="s">
        <v>180</v>
      </c>
      <c r="J439" s="9">
        <v>42202</v>
      </c>
      <c r="K439" s="1">
        <v>2543.333333</v>
      </c>
      <c r="L439" s="1" t="s">
        <v>167</v>
      </c>
    </row>
    <row r="440" spans="1:12" x14ac:dyDescent="0.25">
      <c r="A440" t="s">
        <v>151</v>
      </c>
      <c r="B440" t="s">
        <v>181</v>
      </c>
      <c r="C440" t="s">
        <v>127</v>
      </c>
      <c r="D440" t="s">
        <v>163</v>
      </c>
      <c r="E440" t="s">
        <v>5</v>
      </c>
      <c r="F440" t="s">
        <v>6</v>
      </c>
      <c r="G440">
        <v>227782</v>
      </c>
      <c r="H440">
        <v>31</v>
      </c>
      <c r="I440" t="s">
        <v>79</v>
      </c>
      <c r="J440" s="9">
        <v>42202</v>
      </c>
      <c r="K440" s="1">
        <v>7347.8064519999998</v>
      </c>
      <c r="L440" s="1" t="s">
        <v>166</v>
      </c>
    </row>
    <row r="441" spans="1:12" x14ac:dyDescent="0.25">
      <c r="A441" t="s">
        <v>151</v>
      </c>
      <c r="B441" t="s">
        <v>181</v>
      </c>
      <c r="C441" t="s">
        <v>135</v>
      </c>
      <c r="D441" t="s">
        <v>91</v>
      </c>
      <c r="E441" t="s">
        <v>9</v>
      </c>
      <c r="F441" t="s">
        <v>6</v>
      </c>
      <c r="G441">
        <v>120260</v>
      </c>
      <c r="H441">
        <v>38</v>
      </c>
      <c r="I441" t="s">
        <v>81</v>
      </c>
      <c r="J441" s="9">
        <v>42216</v>
      </c>
      <c r="K441" s="1">
        <v>3164.7368419999998</v>
      </c>
      <c r="L441" s="1" t="s">
        <v>165</v>
      </c>
    </row>
    <row r="442" spans="1:12" x14ac:dyDescent="0.25">
      <c r="A442" t="s">
        <v>151</v>
      </c>
      <c r="B442" t="s">
        <v>181</v>
      </c>
      <c r="C442" t="s">
        <v>184</v>
      </c>
      <c r="D442" t="s">
        <v>88</v>
      </c>
      <c r="E442" t="s">
        <v>9</v>
      </c>
      <c r="F442" t="s">
        <v>6</v>
      </c>
      <c r="G442">
        <v>58986</v>
      </c>
      <c r="H442">
        <v>35</v>
      </c>
      <c r="I442" t="s">
        <v>180</v>
      </c>
      <c r="J442" s="9">
        <v>42216</v>
      </c>
      <c r="K442" s="1">
        <v>1685.314286</v>
      </c>
      <c r="L442" s="1" t="s">
        <v>167</v>
      </c>
    </row>
    <row r="443" spans="1:12" x14ac:dyDescent="0.25">
      <c r="A443" t="s">
        <v>151</v>
      </c>
      <c r="B443" t="s">
        <v>181</v>
      </c>
      <c r="C443" t="s">
        <v>140</v>
      </c>
      <c r="D443" t="s">
        <v>88</v>
      </c>
      <c r="E443" t="s">
        <v>9</v>
      </c>
      <c r="F443" t="s">
        <v>6</v>
      </c>
      <c r="G443">
        <v>174419</v>
      </c>
      <c r="H443">
        <v>37</v>
      </c>
      <c r="I443" t="s">
        <v>79</v>
      </c>
      <c r="J443" s="9">
        <v>42186</v>
      </c>
      <c r="K443" s="1">
        <v>4714.0270270000001</v>
      </c>
      <c r="L443" s="1" t="s">
        <v>165</v>
      </c>
    </row>
    <row r="444" spans="1:12" x14ac:dyDescent="0.25">
      <c r="A444" t="s">
        <v>151</v>
      </c>
      <c r="B444" t="s">
        <v>181</v>
      </c>
      <c r="C444" t="s">
        <v>140</v>
      </c>
      <c r="D444" t="s">
        <v>88</v>
      </c>
      <c r="E444" t="s">
        <v>9</v>
      </c>
      <c r="F444" t="s">
        <v>6</v>
      </c>
      <c r="G444">
        <v>198516</v>
      </c>
      <c r="H444">
        <v>29</v>
      </c>
      <c r="I444" t="s">
        <v>79</v>
      </c>
      <c r="J444" s="9">
        <v>42186</v>
      </c>
      <c r="K444" s="1">
        <v>6845.3793100000003</v>
      </c>
      <c r="L444" s="1" t="s">
        <v>165</v>
      </c>
    </row>
    <row r="445" spans="1:12" x14ac:dyDescent="0.25">
      <c r="A445" t="s">
        <v>151</v>
      </c>
      <c r="B445" t="s">
        <v>181</v>
      </c>
      <c r="C445" t="s">
        <v>140</v>
      </c>
      <c r="D445" t="s">
        <v>88</v>
      </c>
      <c r="E445" t="s">
        <v>9</v>
      </c>
      <c r="F445" t="s">
        <v>6</v>
      </c>
      <c r="G445">
        <v>184208</v>
      </c>
      <c r="H445">
        <v>26</v>
      </c>
      <c r="I445" t="s">
        <v>79</v>
      </c>
      <c r="J445" s="9">
        <v>42186</v>
      </c>
      <c r="K445" s="1">
        <v>7084.9230770000004</v>
      </c>
      <c r="L445" s="1" t="s">
        <v>165</v>
      </c>
    </row>
    <row r="446" spans="1:12" x14ac:dyDescent="0.25">
      <c r="A446" t="s">
        <v>151</v>
      </c>
      <c r="B446" t="s">
        <v>181</v>
      </c>
      <c r="C446" t="s">
        <v>58</v>
      </c>
      <c r="D446" t="s">
        <v>162</v>
      </c>
      <c r="E446" t="s">
        <v>5</v>
      </c>
      <c r="F446" t="s">
        <v>7</v>
      </c>
      <c r="G446">
        <v>100204</v>
      </c>
      <c r="H446">
        <v>39</v>
      </c>
      <c r="I446" t="s">
        <v>79</v>
      </c>
      <c r="J446" s="9">
        <v>42186</v>
      </c>
      <c r="K446" s="1">
        <v>2569.333333</v>
      </c>
      <c r="L446" s="1" t="s">
        <v>165</v>
      </c>
    </row>
    <row r="447" spans="1:12" x14ac:dyDescent="0.25">
      <c r="A447" t="s">
        <v>151</v>
      </c>
      <c r="B447" t="s">
        <v>181</v>
      </c>
      <c r="C447" t="s">
        <v>124</v>
      </c>
      <c r="D447" t="s">
        <v>162</v>
      </c>
      <c r="E447" t="s">
        <v>5</v>
      </c>
      <c r="F447" t="s">
        <v>7</v>
      </c>
      <c r="G447">
        <v>212447</v>
      </c>
      <c r="H447">
        <v>29</v>
      </c>
      <c r="I447" t="s">
        <v>79</v>
      </c>
      <c r="J447" s="9">
        <v>42186</v>
      </c>
      <c r="K447" s="1">
        <v>7325.7586209999999</v>
      </c>
      <c r="L447" s="1" t="s">
        <v>166</v>
      </c>
    </row>
    <row r="448" spans="1:12" x14ac:dyDescent="0.25">
      <c r="A448" t="s">
        <v>151</v>
      </c>
      <c r="B448" t="s">
        <v>181</v>
      </c>
      <c r="C448" t="s">
        <v>124</v>
      </c>
      <c r="D448" t="s">
        <v>162</v>
      </c>
      <c r="E448" t="s">
        <v>5</v>
      </c>
      <c r="F448" t="s">
        <v>7</v>
      </c>
      <c r="G448">
        <v>239942</v>
      </c>
      <c r="H448">
        <v>29</v>
      </c>
      <c r="I448" t="s">
        <v>180</v>
      </c>
      <c r="J448" s="9">
        <v>42186</v>
      </c>
      <c r="K448" s="1">
        <v>8273.8620690000007</v>
      </c>
      <c r="L448" s="1" t="s">
        <v>166</v>
      </c>
    </row>
    <row r="449" spans="1:12" x14ac:dyDescent="0.25">
      <c r="A449" t="s">
        <v>151</v>
      </c>
      <c r="B449" t="s">
        <v>181</v>
      </c>
      <c r="C449" t="s">
        <v>184</v>
      </c>
      <c r="D449" t="s">
        <v>88</v>
      </c>
      <c r="E449" t="s">
        <v>9</v>
      </c>
      <c r="F449" t="s">
        <v>6</v>
      </c>
      <c r="G449">
        <v>198651</v>
      </c>
      <c r="H449">
        <v>21</v>
      </c>
      <c r="I449" t="s">
        <v>93</v>
      </c>
      <c r="J449" s="9">
        <v>42200</v>
      </c>
      <c r="K449" s="1">
        <v>9459.5714289999996</v>
      </c>
      <c r="L449" s="1" t="s">
        <v>165</v>
      </c>
    </row>
    <row r="450" spans="1:12" x14ac:dyDescent="0.25">
      <c r="A450" t="s">
        <v>151</v>
      </c>
      <c r="B450" t="s">
        <v>181</v>
      </c>
      <c r="C450" t="s">
        <v>147</v>
      </c>
      <c r="D450" t="s">
        <v>91</v>
      </c>
      <c r="E450" t="s">
        <v>9</v>
      </c>
      <c r="F450" t="s">
        <v>6</v>
      </c>
      <c r="G450">
        <v>248774</v>
      </c>
      <c r="H450">
        <v>26</v>
      </c>
      <c r="I450" t="s">
        <v>79</v>
      </c>
      <c r="J450" s="9">
        <v>42186</v>
      </c>
      <c r="K450" s="1">
        <v>9568.2307689999998</v>
      </c>
      <c r="L450" s="1" t="s">
        <v>166</v>
      </c>
    </row>
    <row r="451" spans="1:12" x14ac:dyDescent="0.25">
      <c r="A451" t="s">
        <v>151</v>
      </c>
      <c r="B451" t="s">
        <v>181</v>
      </c>
      <c r="C451" t="s">
        <v>140</v>
      </c>
      <c r="D451" t="s">
        <v>88</v>
      </c>
      <c r="E451" t="s">
        <v>9</v>
      </c>
      <c r="F451" t="s">
        <v>6</v>
      </c>
      <c r="G451">
        <v>179447</v>
      </c>
      <c r="H451">
        <v>32</v>
      </c>
      <c r="I451" t="s">
        <v>79</v>
      </c>
      <c r="J451" s="9">
        <v>42186</v>
      </c>
      <c r="K451" s="1">
        <v>5607.71875</v>
      </c>
      <c r="L451" s="1" t="s">
        <v>165</v>
      </c>
    </row>
    <row r="452" spans="1:12" x14ac:dyDescent="0.25">
      <c r="A452" t="s">
        <v>151</v>
      </c>
      <c r="B452" t="s">
        <v>181</v>
      </c>
      <c r="C452" t="s">
        <v>140</v>
      </c>
      <c r="D452" t="s">
        <v>88</v>
      </c>
      <c r="E452" t="s">
        <v>9</v>
      </c>
      <c r="F452" t="s">
        <v>6</v>
      </c>
      <c r="G452">
        <v>72960</v>
      </c>
      <c r="H452">
        <v>36</v>
      </c>
      <c r="I452" t="s">
        <v>79</v>
      </c>
      <c r="J452" s="9">
        <v>42186</v>
      </c>
      <c r="K452" s="1">
        <v>2026.666667</v>
      </c>
      <c r="L452" s="1" t="s">
        <v>167</v>
      </c>
    </row>
    <row r="453" spans="1:12" x14ac:dyDescent="0.25">
      <c r="A453" t="s">
        <v>151</v>
      </c>
      <c r="B453" t="s">
        <v>181</v>
      </c>
      <c r="C453" t="s">
        <v>19</v>
      </c>
      <c r="D453" t="s">
        <v>91</v>
      </c>
      <c r="E453" t="s">
        <v>9</v>
      </c>
      <c r="F453" t="s">
        <v>6</v>
      </c>
      <c r="G453">
        <v>109064</v>
      </c>
      <c r="H453">
        <v>16</v>
      </c>
      <c r="I453" t="s">
        <v>180</v>
      </c>
      <c r="J453" s="9">
        <v>42216</v>
      </c>
      <c r="K453" s="1">
        <v>6816.5</v>
      </c>
      <c r="L453" s="1" t="s">
        <v>165</v>
      </c>
    </row>
    <row r="454" spans="1:12" x14ac:dyDescent="0.25">
      <c r="A454" t="s">
        <v>151</v>
      </c>
      <c r="B454" t="s">
        <v>181</v>
      </c>
      <c r="C454" t="s">
        <v>185</v>
      </c>
      <c r="D454" t="s">
        <v>162</v>
      </c>
      <c r="E454" t="s">
        <v>5</v>
      </c>
      <c r="F454" t="s">
        <v>10</v>
      </c>
      <c r="G454">
        <v>164976</v>
      </c>
      <c r="H454">
        <v>36</v>
      </c>
      <c r="I454" t="s">
        <v>79</v>
      </c>
      <c r="J454" s="9">
        <v>42209</v>
      </c>
      <c r="K454" s="1">
        <v>4582.6666670000004</v>
      </c>
      <c r="L454" s="1" t="s">
        <v>165</v>
      </c>
    </row>
    <row r="455" spans="1:12" x14ac:dyDescent="0.25">
      <c r="A455" t="s">
        <v>151</v>
      </c>
      <c r="B455" t="s">
        <v>181</v>
      </c>
      <c r="C455" t="s">
        <v>184</v>
      </c>
      <c r="D455" t="s">
        <v>88</v>
      </c>
      <c r="E455" t="s">
        <v>9</v>
      </c>
      <c r="F455" t="s">
        <v>6</v>
      </c>
      <c r="G455">
        <v>233246</v>
      </c>
      <c r="H455">
        <v>17</v>
      </c>
      <c r="I455" t="s">
        <v>79</v>
      </c>
      <c r="J455" s="9">
        <v>42216</v>
      </c>
      <c r="K455" s="1">
        <v>13720.352940000001</v>
      </c>
      <c r="L455" s="1" t="s">
        <v>166</v>
      </c>
    </row>
    <row r="456" spans="1:12" x14ac:dyDescent="0.25">
      <c r="A456" t="s">
        <v>151</v>
      </c>
      <c r="B456" t="s">
        <v>181</v>
      </c>
      <c r="C456" t="s">
        <v>144</v>
      </c>
      <c r="D456" t="s">
        <v>163</v>
      </c>
      <c r="E456" t="s">
        <v>5</v>
      </c>
      <c r="F456" t="s">
        <v>12</v>
      </c>
      <c r="G456">
        <v>183123</v>
      </c>
      <c r="H456">
        <v>16</v>
      </c>
      <c r="I456" t="s">
        <v>180</v>
      </c>
      <c r="J456" s="9">
        <v>42186</v>
      </c>
      <c r="K456" s="1">
        <v>11445.1875</v>
      </c>
      <c r="L456" s="1" t="s">
        <v>165</v>
      </c>
    </row>
    <row r="457" spans="1:12" x14ac:dyDescent="0.25">
      <c r="A457" t="s">
        <v>151</v>
      </c>
      <c r="B457" t="s">
        <v>181</v>
      </c>
      <c r="C457" t="s">
        <v>144</v>
      </c>
      <c r="D457" t="s">
        <v>163</v>
      </c>
      <c r="E457" t="s">
        <v>5</v>
      </c>
      <c r="F457" t="s">
        <v>12</v>
      </c>
      <c r="G457">
        <v>170518</v>
      </c>
      <c r="H457">
        <v>32</v>
      </c>
      <c r="I457" t="s">
        <v>79</v>
      </c>
      <c r="J457" s="9">
        <v>42186</v>
      </c>
      <c r="K457" s="1">
        <v>5328.6875</v>
      </c>
      <c r="L457" s="1" t="s">
        <v>165</v>
      </c>
    </row>
    <row r="458" spans="1:12" x14ac:dyDescent="0.25">
      <c r="A458" t="s">
        <v>151</v>
      </c>
      <c r="B458" t="s">
        <v>181</v>
      </c>
      <c r="C458" t="s">
        <v>144</v>
      </c>
      <c r="D458" t="s">
        <v>85</v>
      </c>
      <c r="E458" t="s">
        <v>5</v>
      </c>
      <c r="F458" t="s">
        <v>12</v>
      </c>
      <c r="G458">
        <v>79375</v>
      </c>
      <c r="H458">
        <v>25</v>
      </c>
      <c r="I458" t="s">
        <v>79</v>
      </c>
      <c r="J458" s="9">
        <v>42186</v>
      </c>
      <c r="K458" s="1">
        <v>3175</v>
      </c>
      <c r="L458" s="1" t="s">
        <v>167</v>
      </c>
    </row>
    <row r="459" spans="1:12" x14ac:dyDescent="0.25">
      <c r="A459" t="s">
        <v>151</v>
      </c>
      <c r="B459" t="s">
        <v>181</v>
      </c>
      <c r="C459" t="s">
        <v>144</v>
      </c>
      <c r="D459" t="s">
        <v>85</v>
      </c>
      <c r="E459" t="s">
        <v>5</v>
      </c>
      <c r="F459" t="s">
        <v>12</v>
      </c>
      <c r="G459">
        <v>91631</v>
      </c>
      <c r="H459">
        <v>26</v>
      </c>
      <c r="I459" t="s">
        <v>81</v>
      </c>
      <c r="J459" s="9">
        <v>42186</v>
      </c>
      <c r="K459" s="1">
        <v>3524.2692310000002</v>
      </c>
      <c r="L459" s="1" t="s">
        <v>167</v>
      </c>
    </row>
    <row r="460" spans="1:12" x14ac:dyDescent="0.25">
      <c r="A460" t="s">
        <v>151</v>
      </c>
      <c r="B460" t="s">
        <v>181</v>
      </c>
      <c r="C460" t="s">
        <v>144</v>
      </c>
      <c r="D460" t="s">
        <v>85</v>
      </c>
      <c r="E460" t="s">
        <v>5</v>
      </c>
      <c r="F460" t="s">
        <v>12</v>
      </c>
      <c r="G460">
        <v>197505</v>
      </c>
      <c r="H460">
        <v>29</v>
      </c>
      <c r="I460" t="s">
        <v>79</v>
      </c>
      <c r="J460" s="9">
        <v>42186</v>
      </c>
      <c r="K460" s="1">
        <v>6810.5172409999996</v>
      </c>
      <c r="L460" s="1" t="s">
        <v>165</v>
      </c>
    </row>
    <row r="461" spans="1:12" x14ac:dyDescent="0.25">
      <c r="A461" t="s">
        <v>151</v>
      </c>
      <c r="B461" t="s">
        <v>181</v>
      </c>
      <c r="C461" t="s">
        <v>127</v>
      </c>
      <c r="D461" t="s">
        <v>163</v>
      </c>
      <c r="E461" t="s">
        <v>5</v>
      </c>
      <c r="F461" t="s">
        <v>6</v>
      </c>
      <c r="G461">
        <v>87161</v>
      </c>
      <c r="H461">
        <v>17</v>
      </c>
      <c r="I461" t="s">
        <v>79</v>
      </c>
      <c r="J461" s="9">
        <v>42202</v>
      </c>
      <c r="K461" s="1">
        <v>5127.117647</v>
      </c>
      <c r="L461" s="1" t="s">
        <v>167</v>
      </c>
    </row>
    <row r="462" spans="1:12" x14ac:dyDescent="0.25">
      <c r="A462" t="s">
        <v>151</v>
      </c>
      <c r="B462" t="s">
        <v>181</v>
      </c>
      <c r="C462" t="s">
        <v>144</v>
      </c>
      <c r="D462" t="s">
        <v>85</v>
      </c>
      <c r="E462" t="s">
        <v>5</v>
      </c>
      <c r="F462" t="s">
        <v>6</v>
      </c>
      <c r="G462">
        <v>225074</v>
      </c>
      <c r="H462">
        <v>17</v>
      </c>
      <c r="I462" t="s">
        <v>81</v>
      </c>
      <c r="J462" s="9">
        <v>42186</v>
      </c>
      <c r="K462" s="1">
        <v>13239.647059999999</v>
      </c>
      <c r="L462" s="1" t="s">
        <v>166</v>
      </c>
    </row>
    <row r="463" spans="1:12" x14ac:dyDescent="0.25">
      <c r="A463" t="s">
        <v>151</v>
      </c>
      <c r="B463" t="s">
        <v>181</v>
      </c>
      <c r="C463" t="s">
        <v>135</v>
      </c>
      <c r="D463" t="s">
        <v>91</v>
      </c>
      <c r="E463" t="s">
        <v>9</v>
      </c>
      <c r="F463" t="s">
        <v>6</v>
      </c>
      <c r="G463">
        <v>229595</v>
      </c>
      <c r="H463">
        <v>20</v>
      </c>
      <c r="I463" t="s">
        <v>81</v>
      </c>
      <c r="J463" s="9">
        <v>42216</v>
      </c>
      <c r="K463" s="1">
        <v>11479.75</v>
      </c>
      <c r="L463" s="1" t="s">
        <v>166</v>
      </c>
    </row>
    <row r="464" spans="1:12" x14ac:dyDescent="0.25">
      <c r="A464" t="s">
        <v>151</v>
      </c>
      <c r="B464" t="s">
        <v>181</v>
      </c>
      <c r="C464" t="s">
        <v>138</v>
      </c>
      <c r="D464" t="s">
        <v>162</v>
      </c>
      <c r="E464" t="s">
        <v>5</v>
      </c>
      <c r="F464" t="s">
        <v>6</v>
      </c>
      <c r="G464">
        <v>230903</v>
      </c>
      <c r="H464">
        <v>35</v>
      </c>
      <c r="I464" t="s">
        <v>93</v>
      </c>
      <c r="J464" s="9">
        <v>42186</v>
      </c>
      <c r="K464" s="1">
        <v>6597.2285709999996</v>
      </c>
      <c r="L464" s="1" t="s">
        <v>166</v>
      </c>
    </row>
    <row r="465" spans="1:12" x14ac:dyDescent="0.25">
      <c r="A465" t="s">
        <v>151</v>
      </c>
      <c r="B465" t="s">
        <v>181</v>
      </c>
      <c r="C465" t="s">
        <v>140</v>
      </c>
      <c r="D465" t="s">
        <v>88</v>
      </c>
      <c r="E465" t="s">
        <v>9</v>
      </c>
      <c r="F465" t="s">
        <v>6</v>
      </c>
      <c r="G465">
        <v>169458</v>
      </c>
      <c r="H465">
        <v>17</v>
      </c>
      <c r="I465" t="s">
        <v>79</v>
      </c>
      <c r="J465" s="9">
        <v>42186</v>
      </c>
      <c r="K465" s="1">
        <v>9968.1176469999991</v>
      </c>
      <c r="L465" s="1" t="s">
        <v>165</v>
      </c>
    </row>
    <row r="466" spans="1:12" x14ac:dyDescent="0.25">
      <c r="A466" t="s">
        <v>151</v>
      </c>
      <c r="B466" t="s">
        <v>181</v>
      </c>
      <c r="C466" t="s">
        <v>126</v>
      </c>
      <c r="D466" t="s">
        <v>91</v>
      </c>
      <c r="E466" t="s">
        <v>9</v>
      </c>
      <c r="F466" t="s">
        <v>7</v>
      </c>
      <c r="G466">
        <v>162994</v>
      </c>
      <c r="H466">
        <v>29</v>
      </c>
      <c r="I466" t="s">
        <v>81</v>
      </c>
      <c r="J466" s="9">
        <v>42186</v>
      </c>
      <c r="K466" s="1">
        <v>5620.4827590000004</v>
      </c>
      <c r="L466" s="1" t="s">
        <v>165</v>
      </c>
    </row>
    <row r="467" spans="1:12" x14ac:dyDescent="0.25">
      <c r="A467" t="s">
        <v>151</v>
      </c>
      <c r="B467" t="s">
        <v>181</v>
      </c>
      <c r="C467" t="s">
        <v>144</v>
      </c>
      <c r="D467" t="s">
        <v>163</v>
      </c>
      <c r="E467" t="s">
        <v>5</v>
      </c>
      <c r="F467" t="s">
        <v>12</v>
      </c>
      <c r="G467">
        <v>152617</v>
      </c>
      <c r="H467">
        <v>36</v>
      </c>
      <c r="I467" t="s">
        <v>79</v>
      </c>
      <c r="J467" s="9">
        <v>42186</v>
      </c>
      <c r="K467" s="1">
        <v>4239.3611110000002</v>
      </c>
      <c r="L467" s="1" t="s">
        <v>165</v>
      </c>
    </row>
    <row r="468" spans="1:12" x14ac:dyDescent="0.25">
      <c r="A468" t="s">
        <v>151</v>
      </c>
      <c r="B468" t="s">
        <v>181</v>
      </c>
      <c r="C468" t="s">
        <v>123</v>
      </c>
      <c r="D468" t="s">
        <v>163</v>
      </c>
      <c r="E468" t="s">
        <v>5</v>
      </c>
      <c r="F468" t="s">
        <v>6</v>
      </c>
      <c r="G468">
        <v>201906</v>
      </c>
      <c r="H468">
        <v>21</v>
      </c>
      <c r="I468" t="s">
        <v>79</v>
      </c>
      <c r="J468" s="9">
        <v>42186</v>
      </c>
      <c r="K468" s="1">
        <v>9614.5714289999996</v>
      </c>
      <c r="L468" s="1" t="s">
        <v>166</v>
      </c>
    </row>
    <row r="469" spans="1:12" x14ac:dyDescent="0.25">
      <c r="A469" t="s">
        <v>151</v>
      </c>
      <c r="B469" t="s">
        <v>181</v>
      </c>
      <c r="C469" t="s">
        <v>144</v>
      </c>
      <c r="D469" t="s">
        <v>85</v>
      </c>
      <c r="E469" t="s">
        <v>5</v>
      </c>
      <c r="F469" t="s">
        <v>6</v>
      </c>
      <c r="G469">
        <v>138797</v>
      </c>
      <c r="H469">
        <v>37</v>
      </c>
      <c r="I469" t="s">
        <v>81</v>
      </c>
      <c r="J469" s="9">
        <v>42186</v>
      </c>
      <c r="K469" s="1">
        <v>3751.27027</v>
      </c>
      <c r="L469" s="1" t="s">
        <v>165</v>
      </c>
    </row>
    <row r="470" spans="1:12" x14ac:dyDescent="0.25">
      <c r="A470" t="s">
        <v>151</v>
      </c>
      <c r="B470" t="s">
        <v>181</v>
      </c>
      <c r="C470" t="s">
        <v>129</v>
      </c>
      <c r="D470" t="s">
        <v>91</v>
      </c>
      <c r="E470" t="s">
        <v>9</v>
      </c>
      <c r="F470" t="s">
        <v>6</v>
      </c>
      <c r="G470">
        <v>81100</v>
      </c>
      <c r="H470">
        <v>21</v>
      </c>
      <c r="I470" t="s">
        <v>180</v>
      </c>
      <c r="J470" s="9">
        <v>42209</v>
      </c>
      <c r="K470" s="1">
        <v>3861.9047620000001</v>
      </c>
      <c r="L470" s="1" t="s">
        <v>167</v>
      </c>
    </row>
    <row r="471" spans="1:12" x14ac:dyDescent="0.25">
      <c r="A471" t="s">
        <v>151</v>
      </c>
      <c r="B471" t="s">
        <v>181</v>
      </c>
      <c r="C471" t="s">
        <v>141</v>
      </c>
      <c r="D471" t="s">
        <v>91</v>
      </c>
      <c r="E471" t="s">
        <v>9</v>
      </c>
      <c r="F471" t="s">
        <v>6</v>
      </c>
      <c r="G471">
        <v>186666</v>
      </c>
      <c r="H471">
        <v>40</v>
      </c>
      <c r="I471" t="s">
        <v>82</v>
      </c>
      <c r="J471" s="9">
        <v>42216</v>
      </c>
      <c r="K471" s="1">
        <v>4666.6499999999996</v>
      </c>
      <c r="L471" s="1" t="s">
        <v>165</v>
      </c>
    </row>
    <row r="472" spans="1:12" x14ac:dyDescent="0.25">
      <c r="A472" t="s">
        <v>151</v>
      </c>
      <c r="B472" t="s">
        <v>181</v>
      </c>
      <c r="C472" t="s">
        <v>184</v>
      </c>
      <c r="D472" t="s">
        <v>88</v>
      </c>
      <c r="E472" t="s">
        <v>9</v>
      </c>
      <c r="F472" t="s">
        <v>6</v>
      </c>
      <c r="G472">
        <v>101941</v>
      </c>
      <c r="H472">
        <v>25</v>
      </c>
      <c r="I472" t="s">
        <v>93</v>
      </c>
      <c r="J472" s="9">
        <v>42200</v>
      </c>
      <c r="K472" s="1">
        <v>4077.64</v>
      </c>
      <c r="L472" s="1" t="s">
        <v>165</v>
      </c>
    </row>
    <row r="473" spans="1:12" x14ac:dyDescent="0.25">
      <c r="A473" t="s">
        <v>152</v>
      </c>
      <c r="B473" t="s">
        <v>181</v>
      </c>
      <c r="C473" t="s">
        <v>15</v>
      </c>
      <c r="D473" t="s">
        <v>162</v>
      </c>
      <c r="E473" t="s">
        <v>5</v>
      </c>
      <c r="F473" t="s">
        <v>7</v>
      </c>
      <c r="G473">
        <v>187411</v>
      </c>
      <c r="H473">
        <v>32</v>
      </c>
      <c r="I473" t="s">
        <v>180</v>
      </c>
      <c r="J473" s="9">
        <v>42186</v>
      </c>
      <c r="K473" s="1">
        <v>5856.59375</v>
      </c>
      <c r="L473" s="1" t="s">
        <v>165</v>
      </c>
    </row>
    <row r="474" spans="1:12" x14ac:dyDescent="0.25">
      <c r="A474" t="s">
        <v>152</v>
      </c>
      <c r="B474" t="s">
        <v>181</v>
      </c>
      <c r="C474" t="s">
        <v>126</v>
      </c>
      <c r="D474" t="s">
        <v>91</v>
      </c>
      <c r="E474" t="s">
        <v>9</v>
      </c>
      <c r="F474" t="s">
        <v>7</v>
      </c>
      <c r="G474">
        <v>66248</v>
      </c>
      <c r="H474">
        <v>31</v>
      </c>
      <c r="I474" t="s">
        <v>82</v>
      </c>
      <c r="J474" s="9">
        <v>42186</v>
      </c>
      <c r="K474" s="1">
        <v>2137.0322580000002</v>
      </c>
      <c r="L474" s="1" t="s">
        <v>167</v>
      </c>
    </row>
    <row r="475" spans="1:12" x14ac:dyDescent="0.25">
      <c r="A475" t="s">
        <v>152</v>
      </c>
      <c r="B475" t="s">
        <v>181</v>
      </c>
      <c r="C475" t="s">
        <v>126</v>
      </c>
      <c r="D475" t="s">
        <v>91</v>
      </c>
      <c r="E475" t="s">
        <v>9</v>
      </c>
      <c r="F475" t="s">
        <v>7</v>
      </c>
      <c r="G475">
        <v>85849</v>
      </c>
      <c r="H475">
        <v>39</v>
      </c>
      <c r="I475" t="s">
        <v>81</v>
      </c>
      <c r="J475" s="9">
        <v>42186</v>
      </c>
      <c r="K475" s="1">
        <v>2201.25641</v>
      </c>
      <c r="L475" s="1" t="s">
        <v>167</v>
      </c>
    </row>
    <row r="476" spans="1:12" x14ac:dyDescent="0.25">
      <c r="A476" t="s">
        <v>152</v>
      </c>
      <c r="B476" t="s">
        <v>181</v>
      </c>
      <c r="C476" t="s">
        <v>144</v>
      </c>
      <c r="D476" t="s">
        <v>163</v>
      </c>
      <c r="E476" t="s">
        <v>5</v>
      </c>
      <c r="F476" t="s">
        <v>12</v>
      </c>
      <c r="G476">
        <v>115067</v>
      </c>
      <c r="H476">
        <v>20</v>
      </c>
      <c r="I476" t="s">
        <v>79</v>
      </c>
      <c r="J476" s="9">
        <v>42186</v>
      </c>
      <c r="K476" s="1">
        <v>5753.35</v>
      </c>
      <c r="L476" s="1" t="s">
        <v>165</v>
      </c>
    </row>
    <row r="477" spans="1:12" x14ac:dyDescent="0.25">
      <c r="A477" t="s">
        <v>152</v>
      </c>
      <c r="B477" t="s">
        <v>181</v>
      </c>
      <c r="C477" t="s">
        <v>144</v>
      </c>
      <c r="D477" t="s">
        <v>85</v>
      </c>
      <c r="E477" t="s">
        <v>5</v>
      </c>
      <c r="F477" t="s">
        <v>12</v>
      </c>
      <c r="G477">
        <v>160313</v>
      </c>
      <c r="H477">
        <v>27</v>
      </c>
      <c r="I477" t="s">
        <v>81</v>
      </c>
      <c r="J477" s="9">
        <v>42186</v>
      </c>
      <c r="K477" s="1">
        <v>5937.5185190000002</v>
      </c>
      <c r="L477" s="1" t="s">
        <v>165</v>
      </c>
    </row>
    <row r="478" spans="1:12" x14ac:dyDescent="0.25">
      <c r="A478" t="s">
        <v>152</v>
      </c>
      <c r="B478" t="s">
        <v>181</v>
      </c>
      <c r="C478" t="s">
        <v>35</v>
      </c>
      <c r="D478" t="s">
        <v>91</v>
      </c>
      <c r="E478" t="s">
        <v>9</v>
      </c>
      <c r="F478" t="s">
        <v>7</v>
      </c>
      <c r="G478">
        <v>143127</v>
      </c>
      <c r="H478">
        <v>27</v>
      </c>
      <c r="I478" t="s">
        <v>93</v>
      </c>
      <c r="J478" s="9">
        <v>42209</v>
      </c>
      <c r="K478" s="1">
        <v>5301</v>
      </c>
      <c r="L478" s="1" t="s">
        <v>165</v>
      </c>
    </row>
    <row r="479" spans="1:12" x14ac:dyDescent="0.25">
      <c r="A479" t="s">
        <v>152</v>
      </c>
      <c r="B479" t="s">
        <v>181</v>
      </c>
      <c r="C479" t="s">
        <v>129</v>
      </c>
      <c r="D479" t="s">
        <v>91</v>
      </c>
      <c r="E479" t="s">
        <v>9</v>
      </c>
      <c r="F479" t="s">
        <v>7</v>
      </c>
      <c r="G479">
        <v>130705</v>
      </c>
      <c r="H479">
        <v>36</v>
      </c>
      <c r="I479" t="s">
        <v>180</v>
      </c>
      <c r="J479" s="9">
        <v>42209</v>
      </c>
      <c r="K479" s="1">
        <v>3630.6944440000002</v>
      </c>
      <c r="L479" s="1" t="s">
        <v>165</v>
      </c>
    </row>
    <row r="480" spans="1:12" x14ac:dyDescent="0.25">
      <c r="A480" t="s">
        <v>152</v>
      </c>
      <c r="B480" t="s">
        <v>181</v>
      </c>
      <c r="C480" t="s">
        <v>135</v>
      </c>
      <c r="D480" t="s">
        <v>91</v>
      </c>
      <c r="E480" t="s">
        <v>9</v>
      </c>
      <c r="F480" t="s">
        <v>6</v>
      </c>
      <c r="G480">
        <v>63869</v>
      </c>
      <c r="H480">
        <v>23</v>
      </c>
      <c r="I480" t="s">
        <v>180</v>
      </c>
      <c r="J480" s="9">
        <v>42216</v>
      </c>
      <c r="K480" s="1">
        <v>2776.913043</v>
      </c>
      <c r="L480" s="1" t="s">
        <v>167</v>
      </c>
    </row>
    <row r="481" spans="1:12" x14ac:dyDescent="0.25">
      <c r="A481" t="s">
        <v>152</v>
      </c>
      <c r="B481" t="s">
        <v>181</v>
      </c>
      <c r="C481" t="s">
        <v>113</v>
      </c>
      <c r="D481" t="s">
        <v>162</v>
      </c>
      <c r="E481" t="s">
        <v>5</v>
      </c>
      <c r="F481" t="s">
        <v>7</v>
      </c>
      <c r="G481">
        <v>217999</v>
      </c>
      <c r="H481">
        <v>20</v>
      </c>
      <c r="I481" t="s">
        <v>79</v>
      </c>
      <c r="J481" s="9">
        <v>42186</v>
      </c>
      <c r="K481" s="1">
        <v>10899.95</v>
      </c>
      <c r="L481" s="1" t="s">
        <v>166</v>
      </c>
    </row>
    <row r="482" spans="1:12" x14ac:dyDescent="0.25">
      <c r="A482" t="s">
        <v>152</v>
      </c>
      <c r="B482" t="s">
        <v>181</v>
      </c>
      <c r="C482" t="s">
        <v>123</v>
      </c>
      <c r="D482" t="s">
        <v>163</v>
      </c>
      <c r="E482" t="s">
        <v>5</v>
      </c>
      <c r="F482" t="s">
        <v>6</v>
      </c>
      <c r="G482">
        <v>112107</v>
      </c>
      <c r="H482">
        <v>19</v>
      </c>
      <c r="I482" t="s">
        <v>79</v>
      </c>
      <c r="J482" s="9">
        <v>42186</v>
      </c>
      <c r="K482" s="1">
        <v>5900.3684210000001</v>
      </c>
      <c r="L482" s="1" t="s">
        <v>165</v>
      </c>
    </row>
    <row r="483" spans="1:12" x14ac:dyDescent="0.25">
      <c r="A483" t="s">
        <v>152</v>
      </c>
      <c r="B483" t="s">
        <v>181</v>
      </c>
      <c r="C483" t="s">
        <v>4</v>
      </c>
      <c r="D483" t="s">
        <v>162</v>
      </c>
      <c r="E483" t="s">
        <v>5</v>
      </c>
      <c r="F483" t="s">
        <v>6</v>
      </c>
      <c r="G483">
        <v>172580</v>
      </c>
      <c r="H483">
        <v>24</v>
      </c>
      <c r="I483" t="s">
        <v>81</v>
      </c>
      <c r="J483" s="9">
        <v>42186</v>
      </c>
      <c r="K483" s="1">
        <v>7190.8333329999996</v>
      </c>
      <c r="L483" s="1" t="s">
        <v>165</v>
      </c>
    </row>
    <row r="484" spans="1:12" x14ac:dyDescent="0.25">
      <c r="A484" t="s">
        <v>152</v>
      </c>
      <c r="B484" t="s">
        <v>181</v>
      </c>
      <c r="C484" t="s">
        <v>8</v>
      </c>
      <c r="D484" t="s">
        <v>91</v>
      </c>
      <c r="E484" t="s">
        <v>9</v>
      </c>
      <c r="F484" t="s">
        <v>6</v>
      </c>
      <c r="G484">
        <v>189121</v>
      </c>
      <c r="H484">
        <v>22</v>
      </c>
      <c r="I484" t="s">
        <v>180</v>
      </c>
      <c r="J484" s="9">
        <v>42192</v>
      </c>
      <c r="K484" s="1">
        <v>8596.4090909999995</v>
      </c>
      <c r="L484" s="1" t="s">
        <v>165</v>
      </c>
    </row>
    <row r="485" spans="1:12" x14ac:dyDescent="0.25">
      <c r="A485" t="s">
        <v>152</v>
      </c>
      <c r="B485" t="s">
        <v>181</v>
      </c>
      <c r="C485" t="s">
        <v>140</v>
      </c>
      <c r="D485" t="s">
        <v>88</v>
      </c>
      <c r="E485" t="s">
        <v>9</v>
      </c>
      <c r="F485" t="s">
        <v>6</v>
      </c>
      <c r="G485">
        <v>205308</v>
      </c>
      <c r="H485">
        <v>36</v>
      </c>
      <c r="I485" t="s">
        <v>79</v>
      </c>
      <c r="J485" s="9">
        <v>42186</v>
      </c>
      <c r="K485" s="1">
        <v>5703</v>
      </c>
      <c r="L485" s="1" t="s">
        <v>166</v>
      </c>
    </row>
    <row r="486" spans="1:12" x14ac:dyDescent="0.25">
      <c r="A486" t="s">
        <v>152</v>
      </c>
      <c r="B486" t="s">
        <v>181</v>
      </c>
      <c r="C486" t="s">
        <v>144</v>
      </c>
      <c r="D486" t="s">
        <v>163</v>
      </c>
      <c r="E486" t="s">
        <v>5</v>
      </c>
      <c r="F486" t="s">
        <v>12</v>
      </c>
      <c r="G486">
        <v>100256</v>
      </c>
      <c r="H486">
        <v>34</v>
      </c>
      <c r="I486" t="s">
        <v>79</v>
      </c>
      <c r="J486" s="9">
        <v>42186</v>
      </c>
      <c r="K486" s="1">
        <v>2948.7058820000002</v>
      </c>
      <c r="L486" s="1" t="s">
        <v>165</v>
      </c>
    </row>
    <row r="487" spans="1:12" x14ac:dyDescent="0.25">
      <c r="A487" t="s">
        <v>152</v>
      </c>
      <c r="B487" t="s">
        <v>181</v>
      </c>
      <c r="C487" t="s">
        <v>127</v>
      </c>
      <c r="D487" t="s">
        <v>163</v>
      </c>
      <c r="E487" t="s">
        <v>5</v>
      </c>
      <c r="F487" t="s">
        <v>6</v>
      </c>
      <c r="G487">
        <v>186159</v>
      </c>
      <c r="H487">
        <v>31</v>
      </c>
      <c r="I487" t="s">
        <v>79</v>
      </c>
      <c r="J487" s="9">
        <v>42202</v>
      </c>
      <c r="K487" s="1">
        <v>6005.1290319999998</v>
      </c>
      <c r="L487" s="1" t="s">
        <v>165</v>
      </c>
    </row>
    <row r="488" spans="1:12" x14ac:dyDescent="0.25">
      <c r="A488" t="s">
        <v>152</v>
      </c>
      <c r="B488" t="s">
        <v>181</v>
      </c>
      <c r="C488" t="s">
        <v>121</v>
      </c>
      <c r="D488" t="s">
        <v>162</v>
      </c>
      <c r="E488" t="s">
        <v>5</v>
      </c>
      <c r="F488" t="s">
        <v>6</v>
      </c>
      <c r="G488">
        <v>212582</v>
      </c>
      <c r="H488">
        <v>39</v>
      </c>
      <c r="I488" t="s">
        <v>93</v>
      </c>
      <c r="J488" s="9">
        <v>42214</v>
      </c>
      <c r="K488" s="1">
        <v>5450.8205129999997</v>
      </c>
      <c r="L488" s="1" t="s">
        <v>166</v>
      </c>
    </row>
    <row r="489" spans="1:12" x14ac:dyDescent="0.25">
      <c r="A489" t="s">
        <v>152</v>
      </c>
      <c r="B489" t="s">
        <v>181</v>
      </c>
      <c r="C489" t="s">
        <v>4</v>
      </c>
      <c r="D489" t="s">
        <v>162</v>
      </c>
      <c r="E489" t="s">
        <v>5</v>
      </c>
      <c r="F489" t="s">
        <v>6</v>
      </c>
      <c r="G489">
        <v>225327</v>
      </c>
      <c r="H489">
        <v>20</v>
      </c>
      <c r="I489" t="s">
        <v>81</v>
      </c>
      <c r="J489" s="9">
        <v>42186</v>
      </c>
      <c r="K489" s="1">
        <v>11266.35</v>
      </c>
      <c r="L489" s="1" t="s">
        <v>166</v>
      </c>
    </row>
    <row r="490" spans="1:12" x14ac:dyDescent="0.25">
      <c r="A490" t="s">
        <v>152</v>
      </c>
      <c r="B490" t="s">
        <v>181</v>
      </c>
      <c r="C490" t="s">
        <v>140</v>
      </c>
      <c r="D490" t="s">
        <v>88</v>
      </c>
      <c r="E490" t="s">
        <v>9</v>
      </c>
      <c r="F490" t="s">
        <v>6</v>
      </c>
      <c r="G490">
        <v>237728</v>
      </c>
      <c r="H490">
        <v>24</v>
      </c>
      <c r="I490" t="s">
        <v>79</v>
      </c>
      <c r="J490" s="9">
        <v>42186</v>
      </c>
      <c r="K490" s="1">
        <v>9905.3333330000005</v>
      </c>
      <c r="L490" s="1" t="s">
        <v>166</v>
      </c>
    </row>
    <row r="491" spans="1:12" x14ac:dyDescent="0.25">
      <c r="A491" t="s">
        <v>152</v>
      </c>
      <c r="B491" t="s">
        <v>181</v>
      </c>
      <c r="C491" t="s">
        <v>140</v>
      </c>
      <c r="D491" t="s">
        <v>88</v>
      </c>
      <c r="E491" t="s">
        <v>9</v>
      </c>
      <c r="F491" t="s">
        <v>6</v>
      </c>
      <c r="G491">
        <v>248799</v>
      </c>
      <c r="H491">
        <v>37</v>
      </c>
      <c r="I491" t="s">
        <v>79</v>
      </c>
      <c r="J491" s="9">
        <v>42186</v>
      </c>
      <c r="K491" s="1">
        <v>6724.2972970000001</v>
      </c>
      <c r="L491" s="1" t="s">
        <v>166</v>
      </c>
    </row>
    <row r="492" spans="1:12" x14ac:dyDescent="0.25">
      <c r="A492" t="s">
        <v>152</v>
      </c>
      <c r="B492" t="s">
        <v>181</v>
      </c>
      <c r="C492" t="s">
        <v>140</v>
      </c>
      <c r="D492" t="s">
        <v>88</v>
      </c>
      <c r="E492" t="s">
        <v>9</v>
      </c>
      <c r="F492" t="s">
        <v>6</v>
      </c>
      <c r="G492">
        <v>54839</v>
      </c>
      <c r="H492">
        <v>24</v>
      </c>
      <c r="I492" t="s">
        <v>79</v>
      </c>
      <c r="J492" s="9">
        <v>42186</v>
      </c>
      <c r="K492" s="1">
        <v>2284.958333</v>
      </c>
      <c r="L492" s="1" t="s">
        <v>167</v>
      </c>
    </row>
    <row r="493" spans="1:12" x14ac:dyDescent="0.25">
      <c r="A493" t="s">
        <v>152</v>
      </c>
      <c r="B493" t="s">
        <v>181</v>
      </c>
      <c r="C493" t="s">
        <v>113</v>
      </c>
      <c r="D493" t="s">
        <v>162</v>
      </c>
      <c r="E493" t="s">
        <v>5</v>
      </c>
      <c r="F493" t="s">
        <v>7</v>
      </c>
      <c r="G493">
        <v>74764</v>
      </c>
      <c r="H493">
        <v>36</v>
      </c>
      <c r="I493" t="s">
        <v>79</v>
      </c>
      <c r="J493" s="9">
        <v>42186</v>
      </c>
      <c r="K493" s="1">
        <v>2076.7777780000001</v>
      </c>
      <c r="L493" s="1" t="s">
        <v>167</v>
      </c>
    </row>
    <row r="494" spans="1:12" x14ac:dyDescent="0.25">
      <c r="A494" t="s">
        <v>152</v>
      </c>
      <c r="B494" t="s">
        <v>181</v>
      </c>
      <c r="C494" t="s">
        <v>126</v>
      </c>
      <c r="D494" t="s">
        <v>91</v>
      </c>
      <c r="E494" t="s">
        <v>9</v>
      </c>
      <c r="F494" t="s">
        <v>7</v>
      </c>
      <c r="G494">
        <v>126342</v>
      </c>
      <c r="H494">
        <v>30</v>
      </c>
      <c r="I494" t="s">
        <v>79</v>
      </c>
      <c r="J494" s="9">
        <v>42186</v>
      </c>
      <c r="K494" s="1">
        <v>4211.3999999999996</v>
      </c>
      <c r="L494" s="1" t="s">
        <v>165</v>
      </c>
    </row>
    <row r="495" spans="1:12" x14ac:dyDescent="0.25">
      <c r="A495" t="s">
        <v>152</v>
      </c>
      <c r="B495" t="s">
        <v>181</v>
      </c>
      <c r="C495" t="s">
        <v>126</v>
      </c>
      <c r="D495" t="s">
        <v>91</v>
      </c>
      <c r="E495" t="s">
        <v>9</v>
      </c>
      <c r="F495" t="s">
        <v>7</v>
      </c>
      <c r="G495">
        <v>88626</v>
      </c>
      <c r="H495">
        <v>40</v>
      </c>
      <c r="I495" t="s">
        <v>81</v>
      </c>
      <c r="J495" s="9">
        <v>42186</v>
      </c>
      <c r="K495" s="1">
        <v>2215.65</v>
      </c>
      <c r="L495" s="1" t="s">
        <v>167</v>
      </c>
    </row>
    <row r="496" spans="1:12" x14ac:dyDescent="0.25">
      <c r="A496" t="s">
        <v>152</v>
      </c>
      <c r="B496" t="s">
        <v>181</v>
      </c>
      <c r="C496" t="s">
        <v>144</v>
      </c>
      <c r="D496" t="s">
        <v>163</v>
      </c>
      <c r="E496" t="s">
        <v>5</v>
      </c>
      <c r="F496" t="s">
        <v>12</v>
      </c>
      <c r="G496">
        <v>105177</v>
      </c>
      <c r="H496">
        <v>30</v>
      </c>
      <c r="I496" t="s">
        <v>180</v>
      </c>
      <c r="J496" s="9">
        <v>42186</v>
      </c>
      <c r="K496" s="1">
        <v>3505.9</v>
      </c>
      <c r="L496" s="1" t="s">
        <v>165</v>
      </c>
    </row>
    <row r="497" spans="1:12" x14ac:dyDescent="0.25">
      <c r="A497" t="s">
        <v>152</v>
      </c>
      <c r="B497" t="s">
        <v>181</v>
      </c>
      <c r="C497" t="s">
        <v>144</v>
      </c>
      <c r="D497" t="s">
        <v>85</v>
      </c>
      <c r="E497" t="s">
        <v>5</v>
      </c>
      <c r="F497" t="s">
        <v>12</v>
      </c>
      <c r="G497">
        <v>68975</v>
      </c>
      <c r="H497">
        <v>19</v>
      </c>
      <c r="I497" t="s">
        <v>81</v>
      </c>
      <c r="J497" s="9">
        <v>42186</v>
      </c>
      <c r="K497" s="1">
        <v>3630.2631580000002</v>
      </c>
      <c r="L497" s="1" t="s">
        <v>167</v>
      </c>
    </row>
    <row r="498" spans="1:12" x14ac:dyDescent="0.25">
      <c r="A498" t="s">
        <v>152</v>
      </c>
      <c r="B498" t="s">
        <v>181</v>
      </c>
      <c r="C498" t="s">
        <v>144</v>
      </c>
      <c r="D498" t="s">
        <v>85</v>
      </c>
      <c r="E498" t="s">
        <v>5</v>
      </c>
      <c r="F498" t="s">
        <v>12</v>
      </c>
      <c r="G498">
        <v>74893</v>
      </c>
      <c r="H498">
        <v>27</v>
      </c>
      <c r="I498" t="s">
        <v>81</v>
      </c>
      <c r="J498" s="9">
        <v>42186</v>
      </c>
      <c r="K498" s="1">
        <v>2773.8148150000002</v>
      </c>
      <c r="L498" s="1" t="s">
        <v>167</v>
      </c>
    </row>
    <row r="499" spans="1:12" x14ac:dyDescent="0.25">
      <c r="A499" t="s">
        <v>152</v>
      </c>
      <c r="B499" t="s">
        <v>181</v>
      </c>
      <c r="C499" t="s">
        <v>144</v>
      </c>
      <c r="D499" t="s">
        <v>85</v>
      </c>
      <c r="E499" t="s">
        <v>5</v>
      </c>
      <c r="F499" t="s">
        <v>6</v>
      </c>
      <c r="G499">
        <v>221558</v>
      </c>
      <c r="H499">
        <v>23</v>
      </c>
      <c r="I499" t="s">
        <v>81</v>
      </c>
      <c r="J499" s="9">
        <v>42186</v>
      </c>
      <c r="K499" s="1">
        <v>9632.9565220000004</v>
      </c>
      <c r="L499" s="1" t="s">
        <v>166</v>
      </c>
    </row>
    <row r="500" spans="1:12" x14ac:dyDescent="0.25">
      <c r="A500" t="s">
        <v>152</v>
      </c>
      <c r="B500" t="s">
        <v>181</v>
      </c>
      <c r="C500" t="s">
        <v>144</v>
      </c>
      <c r="D500" t="s">
        <v>85</v>
      </c>
      <c r="E500" t="s">
        <v>5</v>
      </c>
      <c r="F500" t="s">
        <v>6</v>
      </c>
      <c r="G500">
        <v>216010</v>
      </c>
      <c r="H500">
        <v>18</v>
      </c>
      <c r="I500" t="s">
        <v>82</v>
      </c>
      <c r="J500" s="9">
        <v>42186</v>
      </c>
      <c r="K500" s="1">
        <v>12000.555560000001</v>
      </c>
      <c r="L500" s="1" t="s">
        <v>166</v>
      </c>
    </row>
    <row r="501" spans="1:12" x14ac:dyDescent="0.25">
      <c r="A501" t="s">
        <v>152</v>
      </c>
      <c r="B501" t="s">
        <v>181</v>
      </c>
      <c r="C501" t="s">
        <v>135</v>
      </c>
      <c r="D501" t="s">
        <v>91</v>
      </c>
      <c r="E501" t="s">
        <v>9</v>
      </c>
      <c r="F501" t="s">
        <v>6</v>
      </c>
      <c r="G501">
        <v>196310</v>
      </c>
      <c r="H501">
        <v>20</v>
      </c>
      <c r="I501" t="s">
        <v>81</v>
      </c>
      <c r="J501" s="9">
        <v>42216</v>
      </c>
      <c r="K501" s="1">
        <v>9815.5</v>
      </c>
      <c r="L501" s="1" t="s">
        <v>165</v>
      </c>
    </row>
    <row r="502" spans="1:12" x14ac:dyDescent="0.25">
      <c r="A502" t="s">
        <v>152</v>
      </c>
      <c r="B502" t="s">
        <v>181</v>
      </c>
      <c r="C502" t="s">
        <v>184</v>
      </c>
      <c r="D502" t="s">
        <v>88</v>
      </c>
      <c r="E502" t="s">
        <v>9</v>
      </c>
      <c r="F502" t="s">
        <v>6</v>
      </c>
      <c r="G502">
        <v>202612</v>
      </c>
      <c r="H502">
        <v>30</v>
      </c>
      <c r="I502" t="s">
        <v>180</v>
      </c>
      <c r="J502" s="9">
        <v>42216</v>
      </c>
      <c r="K502" s="1">
        <v>6753.7333330000001</v>
      </c>
      <c r="L502" s="1" t="s">
        <v>166</v>
      </c>
    </row>
    <row r="503" spans="1:12" x14ac:dyDescent="0.25">
      <c r="A503" t="s">
        <v>152</v>
      </c>
      <c r="B503" t="s">
        <v>181</v>
      </c>
      <c r="C503" t="s">
        <v>8</v>
      </c>
      <c r="D503" t="s">
        <v>91</v>
      </c>
      <c r="E503" t="s">
        <v>9</v>
      </c>
      <c r="F503" t="s">
        <v>6</v>
      </c>
      <c r="G503">
        <v>175336</v>
      </c>
      <c r="H503">
        <v>20</v>
      </c>
      <c r="I503" t="s">
        <v>180</v>
      </c>
      <c r="J503" s="9">
        <v>42192</v>
      </c>
      <c r="K503" s="1">
        <v>8766.7999999999993</v>
      </c>
      <c r="L503" s="1" t="s">
        <v>165</v>
      </c>
    </row>
    <row r="504" spans="1:12" x14ac:dyDescent="0.25">
      <c r="A504" t="s">
        <v>152</v>
      </c>
      <c r="B504" t="s">
        <v>181</v>
      </c>
      <c r="C504" t="s">
        <v>140</v>
      </c>
      <c r="D504" t="s">
        <v>88</v>
      </c>
      <c r="E504" t="s">
        <v>9</v>
      </c>
      <c r="F504" t="s">
        <v>6</v>
      </c>
      <c r="G504">
        <v>239186</v>
      </c>
      <c r="H504">
        <v>36</v>
      </c>
      <c r="I504" t="s">
        <v>81</v>
      </c>
      <c r="J504" s="9">
        <v>42186</v>
      </c>
      <c r="K504" s="1">
        <v>6644.0555560000003</v>
      </c>
      <c r="L504" s="1" t="s">
        <v>166</v>
      </c>
    </row>
    <row r="505" spans="1:12" x14ac:dyDescent="0.25">
      <c r="A505" t="s">
        <v>152</v>
      </c>
      <c r="B505" t="s">
        <v>181</v>
      </c>
      <c r="C505" t="s">
        <v>140</v>
      </c>
      <c r="D505" t="s">
        <v>88</v>
      </c>
      <c r="E505" t="s">
        <v>9</v>
      </c>
      <c r="F505" t="s">
        <v>6</v>
      </c>
      <c r="G505">
        <v>144214</v>
      </c>
      <c r="H505">
        <v>32</v>
      </c>
      <c r="I505" t="s">
        <v>81</v>
      </c>
      <c r="J505" s="9">
        <v>42186</v>
      </c>
      <c r="K505" s="1">
        <v>4506.6875</v>
      </c>
      <c r="L505" s="1" t="s">
        <v>165</v>
      </c>
    </row>
    <row r="506" spans="1:12" x14ac:dyDescent="0.25">
      <c r="A506" t="s">
        <v>152</v>
      </c>
      <c r="B506" t="s">
        <v>181</v>
      </c>
      <c r="C506" t="s">
        <v>126</v>
      </c>
      <c r="D506" t="s">
        <v>91</v>
      </c>
      <c r="E506" t="s">
        <v>9</v>
      </c>
      <c r="F506" t="s">
        <v>7</v>
      </c>
      <c r="G506">
        <v>147718</v>
      </c>
      <c r="H506">
        <v>20</v>
      </c>
      <c r="I506" t="s">
        <v>82</v>
      </c>
      <c r="J506" s="9">
        <v>42186</v>
      </c>
      <c r="K506" s="1">
        <v>7385.9</v>
      </c>
      <c r="L506" s="1" t="s">
        <v>165</v>
      </c>
    </row>
    <row r="507" spans="1:12" x14ac:dyDescent="0.25">
      <c r="A507" t="s">
        <v>152</v>
      </c>
      <c r="B507" t="s">
        <v>181</v>
      </c>
      <c r="C507" t="s">
        <v>144</v>
      </c>
      <c r="D507" t="s">
        <v>163</v>
      </c>
      <c r="E507" t="s">
        <v>5</v>
      </c>
      <c r="F507" t="s">
        <v>12</v>
      </c>
      <c r="G507">
        <v>145824</v>
      </c>
      <c r="H507">
        <v>24</v>
      </c>
      <c r="I507" t="s">
        <v>79</v>
      </c>
      <c r="J507" s="9">
        <v>42186</v>
      </c>
      <c r="K507" s="1">
        <v>6076</v>
      </c>
      <c r="L507" s="1" t="s">
        <v>165</v>
      </c>
    </row>
    <row r="508" spans="1:12" x14ac:dyDescent="0.25">
      <c r="A508" t="s">
        <v>152</v>
      </c>
      <c r="B508" t="s">
        <v>181</v>
      </c>
      <c r="C508" t="s">
        <v>144</v>
      </c>
      <c r="D508" t="s">
        <v>163</v>
      </c>
      <c r="E508" t="s">
        <v>5</v>
      </c>
      <c r="F508" t="s">
        <v>12</v>
      </c>
      <c r="G508">
        <v>180434</v>
      </c>
      <c r="H508">
        <v>37</v>
      </c>
      <c r="I508" t="s">
        <v>180</v>
      </c>
      <c r="J508" s="9">
        <v>42186</v>
      </c>
      <c r="K508" s="1">
        <v>4876.5945949999996</v>
      </c>
      <c r="L508" s="1" t="s">
        <v>165</v>
      </c>
    </row>
    <row r="509" spans="1:12" x14ac:dyDescent="0.25">
      <c r="A509" t="s">
        <v>153</v>
      </c>
      <c r="B509" t="s">
        <v>181</v>
      </c>
      <c r="C509" t="s">
        <v>144</v>
      </c>
      <c r="D509" t="s">
        <v>85</v>
      </c>
      <c r="E509" t="s">
        <v>5</v>
      </c>
      <c r="F509" t="s">
        <v>12</v>
      </c>
      <c r="G509">
        <v>198973</v>
      </c>
      <c r="H509">
        <v>17</v>
      </c>
      <c r="I509" t="s">
        <v>81</v>
      </c>
      <c r="J509" s="9">
        <v>42186</v>
      </c>
      <c r="K509" s="1">
        <v>11704.29412</v>
      </c>
      <c r="L509" s="1" t="s">
        <v>165</v>
      </c>
    </row>
    <row r="510" spans="1:12" x14ac:dyDescent="0.25">
      <c r="A510" t="s">
        <v>153</v>
      </c>
      <c r="B510" t="s">
        <v>181</v>
      </c>
      <c r="C510" t="s">
        <v>144</v>
      </c>
      <c r="D510" t="s">
        <v>85</v>
      </c>
      <c r="E510" t="s">
        <v>5</v>
      </c>
      <c r="F510" t="s">
        <v>12</v>
      </c>
      <c r="G510">
        <v>137715</v>
      </c>
      <c r="H510">
        <v>35</v>
      </c>
      <c r="I510" t="s">
        <v>81</v>
      </c>
      <c r="J510" s="9">
        <v>42186</v>
      </c>
      <c r="K510" s="1">
        <v>3934.7142859999999</v>
      </c>
      <c r="L510" s="1" t="s">
        <v>165</v>
      </c>
    </row>
    <row r="511" spans="1:12" x14ac:dyDescent="0.25">
      <c r="A511" t="s">
        <v>153</v>
      </c>
      <c r="B511" t="s">
        <v>181</v>
      </c>
      <c r="C511" t="s">
        <v>127</v>
      </c>
      <c r="D511" t="s">
        <v>163</v>
      </c>
      <c r="E511" t="s">
        <v>5</v>
      </c>
      <c r="F511" t="s">
        <v>6</v>
      </c>
      <c r="G511">
        <v>96022</v>
      </c>
      <c r="H511">
        <v>15</v>
      </c>
      <c r="I511" t="s">
        <v>79</v>
      </c>
      <c r="J511" s="9">
        <v>42202</v>
      </c>
      <c r="K511" s="1">
        <v>6401.4666669999997</v>
      </c>
      <c r="L511" s="1" t="s">
        <v>167</v>
      </c>
    </row>
    <row r="512" spans="1:12" x14ac:dyDescent="0.25">
      <c r="A512" t="s">
        <v>153</v>
      </c>
      <c r="B512" t="s">
        <v>181</v>
      </c>
      <c r="C512" t="s">
        <v>123</v>
      </c>
      <c r="D512" t="s">
        <v>163</v>
      </c>
      <c r="E512" t="s">
        <v>5</v>
      </c>
      <c r="F512" t="s">
        <v>6</v>
      </c>
      <c r="G512">
        <v>206455</v>
      </c>
      <c r="H512">
        <v>24</v>
      </c>
      <c r="I512" t="s">
        <v>81</v>
      </c>
      <c r="J512" s="9">
        <v>42186</v>
      </c>
      <c r="K512" s="1">
        <v>8602.2916669999995</v>
      </c>
      <c r="L512" s="1" t="s">
        <v>166</v>
      </c>
    </row>
    <row r="513" spans="1:12" x14ac:dyDescent="0.25">
      <c r="A513" t="s">
        <v>153</v>
      </c>
      <c r="B513" t="s">
        <v>181</v>
      </c>
      <c r="C513" t="s">
        <v>123</v>
      </c>
      <c r="D513" t="s">
        <v>163</v>
      </c>
      <c r="E513" t="s">
        <v>5</v>
      </c>
      <c r="F513" t="s">
        <v>6</v>
      </c>
      <c r="G513">
        <v>197883</v>
      </c>
      <c r="H513">
        <v>42</v>
      </c>
      <c r="I513" t="s">
        <v>79</v>
      </c>
      <c r="J513" s="9">
        <v>42186</v>
      </c>
      <c r="K513" s="1">
        <v>4711.5</v>
      </c>
      <c r="L513" s="1" t="s">
        <v>165</v>
      </c>
    </row>
    <row r="514" spans="1:12" x14ac:dyDescent="0.25">
      <c r="A514" t="s">
        <v>153</v>
      </c>
      <c r="B514" t="s">
        <v>181</v>
      </c>
      <c r="C514" t="s">
        <v>123</v>
      </c>
      <c r="D514" t="s">
        <v>163</v>
      </c>
      <c r="E514" t="s">
        <v>5</v>
      </c>
      <c r="F514" t="s">
        <v>6</v>
      </c>
      <c r="G514">
        <v>132610</v>
      </c>
      <c r="H514">
        <v>15</v>
      </c>
      <c r="I514" t="s">
        <v>180</v>
      </c>
      <c r="J514" s="9">
        <v>42186</v>
      </c>
      <c r="K514" s="1">
        <v>8840.6666669999995</v>
      </c>
      <c r="L514" s="1" t="s">
        <v>165</v>
      </c>
    </row>
    <row r="515" spans="1:12" x14ac:dyDescent="0.25">
      <c r="A515" t="s">
        <v>153</v>
      </c>
      <c r="B515" t="s">
        <v>181</v>
      </c>
      <c r="C515" t="s">
        <v>123</v>
      </c>
      <c r="D515" t="s">
        <v>163</v>
      </c>
      <c r="E515" t="s">
        <v>5</v>
      </c>
      <c r="F515" t="s">
        <v>6</v>
      </c>
      <c r="G515">
        <v>83888</v>
      </c>
      <c r="H515">
        <v>27</v>
      </c>
      <c r="I515" t="s">
        <v>79</v>
      </c>
      <c r="J515" s="9">
        <v>42186</v>
      </c>
      <c r="K515" s="1">
        <v>3106.9629629999999</v>
      </c>
      <c r="L515" s="1" t="s">
        <v>167</v>
      </c>
    </row>
    <row r="516" spans="1:12" x14ac:dyDescent="0.25">
      <c r="A516" t="s">
        <v>153</v>
      </c>
      <c r="B516" t="s">
        <v>181</v>
      </c>
      <c r="C516" t="s">
        <v>113</v>
      </c>
      <c r="D516" t="s">
        <v>162</v>
      </c>
      <c r="E516" t="s">
        <v>5</v>
      </c>
      <c r="F516" t="s">
        <v>7</v>
      </c>
      <c r="G516">
        <v>129446</v>
      </c>
      <c r="H516">
        <v>34</v>
      </c>
      <c r="I516" t="s">
        <v>180</v>
      </c>
      <c r="J516" s="9">
        <v>42195</v>
      </c>
      <c r="K516" s="1">
        <v>3807.2352940000001</v>
      </c>
      <c r="L516" s="1" t="s">
        <v>165</v>
      </c>
    </row>
    <row r="517" spans="1:12" x14ac:dyDescent="0.25">
      <c r="A517" t="s">
        <v>153</v>
      </c>
      <c r="B517" t="s">
        <v>181</v>
      </c>
      <c r="C517" t="s">
        <v>52</v>
      </c>
      <c r="D517" t="s">
        <v>91</v>
      </c>
      <c r="E517" t="s">
        <v>9</v>
      </c>
      <c r="F517" t="s">
        <v>6</v>
      </c>
      <c r="G517">
        <v>125832</v>
      </c>
      <c r="H517">
        <v>31</v>
      </c>
      <c r="I517" t="s">
        <v>79</v>
      </c>
      <c r="J517" s="9">
        <v>42216</v>
      </c>
      <c r="K517" s="1">
        <v>4059.0967740000001</v>
      </c>
      <c r="L517" s="1" t="s">
        <v>165</v>
      </c>
    </row>
    <row r="518" spans="1:12" x14ac:dyDescent="0.25">
      <c r="A518" t="s">
        <v>153</v>
      </c>
      <c r="B518" t="s">
        <v>181</v>
      </c>
      <c r="C518" t="s">
        <v>147</v>
      </c>
      <c r="D518" t="s">
        <v>91</v>
      </c>
      <c r="E518" t="s">
        <v>9</v>
      </c>
      <c r="F518" t="s">
        <v>7</v>
      </c>
      <c r="G518">
        <v>211102</v>
      </c>
      <c r="H518">
        <v>20</v>
      </c>
      <c r="I518" t="s">
        <v>180</v>
      </c>
      <c r="J518" s="9">
        <v>42186</v>
      </c>
      <c r="K518" s="1">
        <v>10555.1</v>
      </c>
      <c r="L518" s="1" t="s">
        <v>166</v>
      </c>
    </row>
    <row r="519" spans="1:12" x14ac:dyDescent="0.25">
      <c r="A519" t="s">
        <v>153</v>
      </c>
      <c r="B519" t="s">
        <v>181</v>
      </c>
      <c r="C519" t="s">
        <v>49</v>
      </c>
      <c r="D519" t="s">
        <v>87</v>
      </c>
      <c r="E519" t="s">
        <v>9</v>
      </c>
      <c r="F519" t="s">
        <v>6</v>
      </c>
      <c r="G519">
        <v>239663</v>
      </c>
      <c r="H519">
        <v>21</v>
      </c>
      <c r="I519" t="s">
        <v>180</v>
      </c>
      <c r="J519" s="9">
        <v>42212</v>
      </c>
      <c r="K519" s="1">
        <v>11412.523810000001</v>
      </c>
      <c r="L519" s="1" t="s">
        <v>166</v>
      </c>
    </row>
    <row r="520" spans="1:12" x14ac:dyDescent="0.25">
      <c r="A520" t="s">
        <v>153</v>
      </c>
      <c r="B520" t="s">
        <v>181</v>
      </c>
      <c r="C520" t="s">
        <v>140</v>
      </c>
      <c r="D520" t="s">
        <v>88</v>
      </c>
      <c r="E520" t="s">
        <v>9</v>
      </c>
      <c r="F520" t="s">
        <v>6</v>
      </c>
      <c r="G520">
        <v>247680</v>
      </c>
      <c r="H520">
        <v>33</v>
      </c>
      <c r="I520" t="s">
        <v>81</v>
      </c>
      <c r="J520" s="9">
        <v>42186</v>
      </c>
      <c r="K520" s="1">
        <v>7505.4545449999996</v>
      </c>
      <c r="L520" s="1" t="s">
        <v>166</v>
      </c>
    </row>
    <row r="521" spans="1:12" x14ac:dyDescent="0.25">
      <c r="A521" t="s">
        <v>153</v>
      </c>
      <c r="B521" t="s">
        <v>181</v>
      </c>
      <c r="C521" t="s">
        <v>144</v>
      </c>
      <c r="D521" t="s">
        <v>163</v>
      </c>
      <c r="E521" t="s">
        <v>5</v>
      </c>
      <c r="F521" t="s">
        <v>12</v>
      </c>
      <c r="G521">
        <v>102106</v>
      </c>
      <c r="H521">
        <v>17</v>
      </c>
      <c r="I521" t="s">
        <v>79</v>
      </c>
      <c r="J521" s="9">
        <v>42186</v>
      </c>
      <c r="K521" s="1">
        <v>6006.2352940000001</v>
      </c>
      <c r="L521" s="1" t="s">
        <v>165</v>
      </c>
    </row>
    <row r="522" spans="1:12" x14ac:dyDescent="0.25">
      <c r="A522" t="s">
        <v>153</v>
      </c>
      <c r="B522" t="s">
        <v>181</v>
      </c>
      <c r="C522" t="s">
        <v>144</v>
      </c>
      <c r="D522" t="s">
        <v>163</v>
      </c>
      <c r="E522" t="s">
        <v>5</v>
      </c>
      <c r="F522" t="s">
        <v>12</v>
      </c>
      <c r="G522">
        <v>125635</v>
      </c>
      <c r="H522">
        <v>22</v>
      </c>
      <c r="I522" t="s">
        <v>79</v>
      </c>
      <c r="J522" s="9">
        <v>42186</v>
      </c>
      <c r="K522" s="1">
        <v>5710.681818</v>
      </c>
      <c r="L522" s="1" t="s">
        <v>165</v>
      </c>
    </row>
    <row r="523" spans="1:12" x14ac:dyDescent="0.25">
      <c r="A523" t="s">
        <v>153</v>
      </c>
      <c r="B523" t="s">
        <v>181</v>
      </c>
      <c r="C523" t="s">
        <v>129</v>
      </c>
      <c r="D523" t="s">
        <v>91</v>
      </c>
      <c r="E523" t="s">
        <v>9</v>
      </c>
      <c r="F523" t="s">
        <v>7</v>
      </c>
      <c r="G523">
        <v>116106</v>
      </c>
      <c r="H523">
        <v>33</v>
      </c>
      <c r="I523" t="s">
        <v>180</v>
      </c>
      <c r="J523" s="9">
        <v>42207</v>
      </c>
      <c r="K523" s="1">
        <v>3518.363636</v>
      </c>
      <c r="L523" s="1" t="s">
        <v>165</v>
      </c>
    </row>
    <row r="524" spans="1:12" x14ac:dyDescent="0.25">
      <c r="A524" t="s">
        <v>153</v>
      </c>
      <c r="B524" t="s">
        <v>181</v>
      </c>
      <c r="C524" t="s">
        <v>127</v>
      </c>
      <c r="D524" t="s">
        <v>163</v>
      </c>
      <c r="E524" t="s">
        <v>5</v>
      </c>
      <c r="F524" t="s">
        <v>6</v>
      </c>
      <c r="G524">
        <v>224521</v>
      </c>
      <c r="H524">
        <v>21</v>
      </c>
      <c r="I524" t="s">
        <v>81</v>
      </c>
      <c r="J524" s="9">
        <v>42202</v>
      </c>
      <c r="K524" s="1">
        <v>10691.476189999999</v>
      </c>
      <c r="L524" s="1" t="s">
        <v>166</v>
      </c>
    </row>
    <row r="525" spans="1:12" x14ac:dyDescent="0.25">
      <c r="A525" t="s">
        <v>153</v>
      </c>
      <c r="B525" t="s">
        <v>181</v>
      </c>
      <c r="C525" t="s">
        <v>32</v>
      </c>
      <c r="D525" t="s">
        <v>163</v>
      </c>
      <c r="E525" t="s">
        <v>5</v>
      </c>
      <c r="F525" t="s">
        <v>7</v>
      </c>
      <c r="G525">
        <v>111663</v>
      </c>
      <c r="H525">
        <v>40</v>
      </c>
      <c r="I525" t="s">
        <v>180</v>
      </c>
      <c r="J525" s="9">
        <v>42195</v>
      </c>
      <c r="K525" s="1">
        <v>2791.5749999999998</v>
      </c>
      <c r="L525" s="1" t="s">
        <v>165</v>
      </c>
    </row>
    <row r="526" spans="1:12" x14ac:dyDescent="0.25">
      <c r="A526" t="s">
        <v>153</v>
      </c>
      <c r="B526" t="s">
        <v>181</v>
      </c>
      <c r="C526" t="s">
        <v>144</v>
      </c>
      <c r="D526" t="s">
        <v>85</v>
      </c>
      <c r="E526" t="s">
        <v>5</v>
      </c>
      <c r="F526" t="s">
        <v>6</v>
      </c>
      <c r="G526">
        <v>150575</v>
      </c>
      <c r="H526">
        <v>35</v>
      </c>
      <c r="I526" t="s">
        <v>82</v>
      </c>
      <c r="J526" s="9">
        <v>42186</v>
      </c>
      <c r="K526" s="1">
        <v>4302.1428569999998</v>
      </c>
      <c r="L526" s="1" t="s">
        <v>165</v>
      </c>
    </row>
    <row r="527" spans="1:12" x14ac:dyDescent="0.25">
      <c r="A527" t="s">
        <v>153</v>
      </c>
      <c r="B527" t="s">
        <v>181</v>
      </c>
      <c r="C527" t="s">
        <v>140</v>
      </c>
      <c r="D527" t="s">
        <v>88</v>
      </c>
      <c r="E527" t="s">
        <v>9</v>
      </c>
      <c r="F527" t="s">
        <v>6</v>
      </c>
      <c r="G527">
        <v>148445</v>
      </c>
      <c r="H527">
        <v>41</v>
      </c>
      <c r="I527" t="s">
        <v>81</v>
      </c>
      <c r="J527" s="9">
        <v>42186</v>
      </c>
      <c r="K527" s="1">
        <v>3620.6097559999998</v>
      </c>
      <c r="L527" s="1" t="s">
        <v>165</v>
      </c>
    </row>
    <row r="528" spans="1:12" x14ac:dyDescent="0.25">
      <c r="A528" t="s">
        <v>153</v>
      </c>
      <c r="B528" t="s">
        <v>181</v>
      </c>
      <c r="C528" t="s">
        <v>140</v>
      </c>
      <c r="D528" t="s">
        <v>88</v>
      </c>
      <c r="E528" t="s">
        <v>9</v>
      </c>
      <c r="F528" t="s">
        <v>6</v>
      </c>
      <c r="G528">
        <v>209114</v>
      </c>
      <c r="H528">
        <v>40</v>
      </c>
      <c r="I528" t="s">
        <v>81</v>
      </c>
      <c r="J528" s="9">
        <v>42186</v>
      </c>
      <c r="K528" s="1">
        <v>5227.8500000000004</v>
      </c>
      <c r="L528" s="1" t="s">
        <v>166</v>
      </c>
    </row>
    <row r="529" spans="1:12" x14ac:dyDescent="0.25">
      <c r="A529" t="s">
        <v>153</v>
      </c>
      <c r="B529" t="s">
        <v>181</v>
      </c>
      <c r="C529" t="s">
        <v>113</v>
      </c>
      <c r="D529" t="s">
        <v>162</v>
      </c>
      <c r="E529" t="s">
        <v>5</v>
      </c>
      <c r="F529" t="s">
        <v>7</v>
      </c>
      <c r="G529">
        <v>139313</v>
      </c>
      <c r="H529">
        <v>29</v>
      </c>
      <c r="I529" t="s">
        <v>81</v>
      </c>
      <c r="J529" s="9">
        <v>42186</v>
      </c>
      <c r="K529" s="1">
        <v>4803.8965520000002</v>
      </c>
      <c r="L529" s="1" t="s">
        <v>165</v>
      </c>
    </row>
    <row r="530" spans="1:12" x14ac:dyDescent="0.25">
      <c r="A530" t="s">
        <v>153</v>
      </c>
      <c r="B530" t="s">
        <v>181</v>
      </c>
      <c r="C530" t="s">
        <v>126</v>
      </c>
      <c r="D530" t="s">
        <v>91</v>
      </c>
      <c r="E530" t="s">
        <v>9</v>
      </c>
      <c r="F530" t="s">
        <v>7</v>
      </c>
      <c r="G530">
        <v>245945</v>
      </c>
      <c r="H530">
        <v>17</v>
      </c>
      <c r="I530" t="s">
        <v>79</v>
      </c>
      <c r="J530" s="9">
        <v>42186</v>
      </c>
      <c r="K530" s="1">
        <v>14467.352940000001</v>
      </c>
      <c r="L530" s="1" t="s">
        <v>166</v>
      </c>
    </row>
    <row r="531" spans="1:12" x14ac:dyDescent="0.25">
      <c r="A531" t="s">
        <v>153</v>
      </c>
      <c r="B531" t="s">
        <v>181</v>
      </c>
      <c r="C531" t="s">
        <v>144</v>
      </c>
      <c r="D531" t="s">
        <v>163</v>
      </c>
      <c r="E531" t="s">
        <v>5</v>
      </c>
      <c r="F531" t="s">
        <v>12</v>
      </c>
      <c r="G531">
        <v>118158</v>
      </c>
      <c r="H531">
        <v>15</v>
      </c>
      <c r="I531" t="s">
        <v>79</v>
      </c>
      <c r="J531" s="9">
        <v>42186</v>
      </c>
      <c r="K531" s="1">
        <v>7877.2</v>
      </c>
      <c r="L531" s="1" t="s">
        <v>165</v>
      </c>
    </row>
    <row r="532" spans="1:12" x14ac:dyDescent="0.25">
      <c r="A532" t="s">
        <v>153</v>
      </c>
      <c r="B532" t="s">
        <v>181</v>
      </c>
      <c r="C532" t="s">
        <v>59</v>
      </c>
      <c r="D532" t="s">
        <v>91</v>
      </c>
      <c r="E532" t="s">
        <v>9</v>
      </c>
      <c r="F532" t="s">
        <v>6</v>
      </c>
      <c r="G532">
        <v>175447</v>
      </c>
      <c r="H532">
        <v>42</v>
      </c>
      <c r="I532" t="s">
        <v>81</v>
      </c>
      <c r="J532" s="9">
        <v>42207</v>
      </c>
      <c r="K532" s="1">
        <v>4177.3095240000002</v>
      </c>
      <c r="L532" s="1" t="s">
        <v>165</v>
      </c>
    </row>
    <row r="533" spans="1:12" x14ac:dyDescent="0.25">
      <c r="A533" t="s">
        <v>153</v>
      </c>
      <c r="B533" t="s">
        <v>181</v>
      </c>
      <c r="C533" t="s">
        <v>122</v>
      </c>
      <c r="D533" t="s">
        <v>162</v>
      </c>
      <c r="E533" t="s">
        <v>5</v>
      </c>
      <c r="F533" t="s">
        <v>7</v>
      </c>
      <c r="G533">
        <v>174086</v>
      </c>
      <c r="H533">
        <v>22</v>
      </c>
      <c r="I533" t="s">
        <v>180</v>
      </c>
      <c r="J533" s="9">
        <v>42188</v>
      </c>
      <c r="K533" s="1">
        <v>7913</v>
      </c>
      <c r="L533" s="1" t="s">
        <v>165</v>
      </c>
    </row>
    <row r="534" spans="1:12" x14ac:dyDescent="0.25">
      <c r="A534" t="s">
        <v>153</v>
      </c>
      <c r="B534" t="s">
        <v>181</v>
      </c>
      <c r="C534" t="s">
        <v>192</v>
      </c>
      <c r="D534" t="s">
        <v>162</v>
      </c>
      <c r="E534" t="s">
        <v>5</v>
      </c>
      <c r="F534" t="s">
        <v>6</v>
      </c>
      <c r="G534">
        <v>70653</v>
      </c>
      <c r="H534">
        <v>38</v>
      </c>
      <c r="I534" t="s">
        <v>180</v>
      </c>
      <c r="J534" s="9">
        <v>42215</v>
      </c>
      <c r="K534" s="1">
        <v>1859.2894739999999</v>
      </c>
      <c r="L534" s="1" t="s">
        <v>167</v>
      </c>
    </row>
    <row r="535" spans="1:12" x14ac:dyDescent="0.25">
      <c r="A535" t="s">
        <v>153</v>
      </c>
      <c r="B535" t="s">
        <v>181</v>
      </c>
      <c r="C535" t="s">
        <v>140</v>
      </c>
      <c r="D535" t="s">
        <v>88</v>
      </c>
      <c r="E535" t="s">
        <v>9</v>
      </c>
      <c r="F535" t="s">
        <v>6</v>
      </c>
      <c r="G535">
        <v>85203</v>
      </c>
      <c r="H535">
        <v>31</v>
      </c>
      <c r="I535" t="s">
        <v>79</v>
      </c>
      <c r="J535" s="9">
        <v>42186</v>
      </c>
      <c r="K535" s="1">
        <v>2748.4838709999999</v>
      </c>
      <c r="L535" s="1" t="s">
        <v>167</v>
      </c>
    </row>
    <row r="536" spans="1:12" x14ac:dyDescent="0.25">
      <c r="A536" t="s">
        <v>153</v>
      </c>
      <c r="B536" t="s">
        <v>181</v>
      </c>
      <c r="C536" t="s">
        <v>140</v>
      </c>
      <c r="D536" t="s">
        <v>88</v>
      </c>
      <c r="E536" t="s">
        <v>9</v>
      </c>
      <c r="F536" t="s">
        <v>6</v>
      </c>
      <c r="G536">
        <v>248288</v>
      </c>
      <c r="H536">
        <v>17</v>
      </c>
      <c r="I536" t="s">
        <v>79</v>
      </c>
      <c r="J536" s="9">
        <v>42186</v>
      </c>
      <c r="K536" s="1">
        <v>14605.17647</v>
      </c>
      <c r="L536" s="1" t="s">
        <v>166</v>
      </c>
    </row>
    <row r="537" spans="1:12" x14ac:dyDescent="0.25">
      <c r="A537" t="s">
        <v>153</v>
      </c>
      <c r="B537" t="s">
        <v>181</v>
      </c>
      <c r="C537" t="s">
        <v>113</v>
      </c>
      <c r="D537" t="s">
        <v>162</v>
      </c>
      <c r="E537" t="s">
        <v>5</v>
      </c>
      <c r="F537" t="s">
        <v>7</v>
      </c>
      <c r="G537">
        <v>185106</v>
      </c>
      <c r="H537">
        <v>29</v>
      </c>
      <c r="I537" t="s">
        <v>79</v>
      </c>
      <c r="J537" s="9">
        <v>42186</v>
      </c>
      <c r="K537" s="1">
        <v>6382.9655169999996</v>
      </c>
      <c r="L537" s="1" t="s">
        <v>165</v>
      </c>
    </row>
    <row r="538" spans="1:12" x14ac:dyDescent="0.25">
      <c r="A538" t="s">
        <v>154</v>
      </c>
      <c r="B538" t="s">
        <v>181</v>
      </c>
      <c r="C538" t="s">
        <v>126</v>
      </c>
      <c r="D538" t="s">
        <v>91</v>
      </c>
      <c r="E538" t="s">
        <v>9</v>
      </c>
      <c r="F538" t="s">
        <v>7</v>
      </c>
      <c r="G538">
        <v>98751</v>
      </c>
      <c r="H538">
        <v>35</v>
      </c>
      <c r="I538" t="s">
        <v>79</v>
      </c>
      <c r="J538" s="9">
        <v>42186</v>
      </c>
      <c r="K538" s="1">
        <v>2821.4571430000001</v>
      </c>
      <c r="L538" s="1" t="s">
        <v>167</v>
      </c>
    </row>
    <row r="539" spans="1:12" x14ac:dyDescent="0.25">
      <c r="A539" t="s">
        <v>154</v>
      </c>
      <c r="B539" t="s">
        <v>181</v>
      </c>
      <c r="C539" t="s">
        <v>126</v>
      </c>
      <c r="D539" t="s">
        <v>91</v>
      </c>
      <c r="E539" t="s">
        <v>9</v>
      </c>
      <c r="F539" t="s">
        <v>7</v>
      </c>
      <c r="G539">
        <v>182420</v>
      </c>
      <c r="H539">
        <v>38</v>
      </c>
      <c r="I539" t="s">
        <v>79</v>
      </c>
      <c r="J539" s="9">
        <v>42186</v>
      </c>
      <c r="K539" s="1">
        <v>4800.5263160000004</v>
      </c>
      <c r="L539" s="1" t="s">
        <v>165</v>
      </c>
    </row>
    <row r="540" spans="1:12" x14ac:dyDescent="0.25">
      <c r="A540" t="s">
        <v>154</v>
      </c>
      <c r="B540" t="s">
        <v>181</v>
      </c>
      <c r="C540" t="s">
        <v>144</v>
      </c>
      <c r="D540" t="s">
        <v>163</v>
      </c>
      <c r="E540" t="s">
        <v>5</v>
      </c>
      <c r="F540" t="s">
        <v>12</v>
      </c>
      <c r="G540">
        <v>125495</v>
      </c>
      <c r="H540">
        <v>18</v>
      </c>
      <c r="I540" t="s">
        <v>79</v>
      </c>
      <c r="J540" s="9">
        <v>42186</v>
      </c>
      <c r="K540" s="1">
        <v>6971.9444439999997</v>
      </c>
      <c r="L540" s="1" t="s">
        <v>165</v>
      </c>
    </row>
    <row r="541" spans="1:12" x14ac:dyDescent="0.25">
      <c r="A541" t="s">
        <v>154</v>
      </c>
      <c r="B541" t="s">
        <v>181</v>
      </c>
      <c r="C541" t="s">
        <v>144</v>
      </c>
      <c r="D541" t="s">
        <v>163</v>
      </c>
      <c r="E541" t="s">
        <v>5</v>
      </c>
      <c r="F541" t="s">
        <v>12</v>
      </c>
      <c r="G541">
        <v>126327</v>
      </c>
      <c r="H541">
        <v>40</v>
      </c>
      <c r="I541" t="s">
        <v>79</v>
      </c>
      <c r="J541" s="9">
        <v>42186</v>
      </c>
      <c r="K541" s="1">
        <v>3158.1750000000002</v>
      </c>
      <c r="L541" s="1" t="s">
        <v>165</v>
      </c>
    </row>
    <row r="542" spans="1:12" x14ac:dyDescent="0.25">
      <c r="A542" t="s">
        <v>154</v>
      </c>
      <c r="B542" t="s">
        <v>181</v>
      </c>
      <c r="C542" t="s">
        <v>144</v>
      </c>
      <c r="D542" t="s">
        <v>163</v>
      </c>
      <c r="E542" t="s">
        <v>5</v>
      </c>
      <c r="F542" t="s">
        <v>12</v>
      </c>
      <c r="G542">
        <v>86725</v>
      </c>
      <c r="H542">
        <v>39</v>
      </c>
      <c r="I542" t="s">
        <v>79</v>
      </c>
      <c r="J542" s="9">
        <v>42186</v>
      </c>
      <c r="K542" s="1">
        <v>2223.7179489999999</v>
      </c>
      <c r="L542" s="1" t="s">
        <v>167</v>
      </c>
    </row>
    <row r="543" spans="1:12" x14ac:dyDescent="0.25">
      <c r="A543" t="s">
        <v>154</v>
      </c>
      <c r="B543" t="s">
        <v>181</v>
      </c>
      <c r="C543" t="s">
        <v>138</v>
      </c>
      <c r="D543" t="s">
        <v>163</v>
      </c>
      <c r="E543" t="s">
        <v>5</v>
      </c>
      <c r="F543" t="s">
        <v>10</v>
      </c>
      <c r="G543">
        <v>113258</v>
      </c>
      <c r="H543">
        <v>17</v>
      </c>
      <c r="I543" t="s">
        <v>180</v>
      </c>
      <c r="J543" s="9">
        <v>42215</v>
      </c>
      <c r="K543" s="1">
        <v>6662.2352940000001</v>
      </c>
      <c r="L543" s="1" t="s">
        <v>165</v>
      </c>
    </row>
    <row r="544" spans="1:12" x14ac:dyDescent="0.25">
      <c r="A544" t="s">
        <v>154</v>
      </c>
      <c r="B544" t="s">
        <v>181</v>
      </c>
      <c r="C544" t="s">
        <v>144</v>
      </c>
      <c r="D544" t="s">
        <v>85</v>
      </c>
      <c r="E544" t="s">
        <v>5</v>
      </c>
      <c r="F544" t="s">
        <v>6</v>
      </c>
      <c r="G544">
        <v>103229</v>
      </c>
      <c r="H544">
        <v>34</v>
      </c>
      <c r="I544" t="s">
        <v>81</v>
      </c>
      <c r="J544" s="9">
        <v>42186</v>
      </c>
      <c r="K544" s="1">
        <v>3036.1470589999999</v>
      </c>
      <c r="L544" s="1" t="s">
        <v>165</v>
      </c>
    </row>
    <row r="545" spans="1:12" x14ac:dyDescent="0.25">
      <c r="A545" t="s">
        <v>154</v>
      </c>
      <c r="B545" t="s">
        <v>181</v>
      </c>
      <c r="C545" t="s">
        <v>52</v>
      </c>
      <c r="D545" t="s">
        <v>91</v>
      </c>
      <c r="E545" t="s">
        <v>9</v>
      </c>
      <c r="F545" t="s">
        <v>6</v>
      </c>
      <c r="G545">
        <v>75000</v>
      </c>
      <c r="H545">
        <v>34</v>
      </c>
      <c r="I545" t="s">
        <v>79</v>
      </c>
      <c r="J545" s="9">
        <v>42216</v>
      </c>
      <c r="K545" s="1">
        <v>2205.882353</v>
      </c>
      <c r="L545" s="1" t="s">
        <v>167</v>
      </c>
    </row>
    <row r="546" spans="1:12" x14ac:dyDescent="0.25">
      <c r="A546" t="s">
        <v>154</v>
      </c>
      <c r="B546" t="s">
        <v>181</v>
      </c>
      <c r="C546" t="s">
        <v>147</v>
      </c>
      <c r="D546" t="s">
        <v>91</v>
      </c>
      <c r="E546" t="s">
        <v>9</v>
      </c>
      <c r="F546" t="s">
        <v>7</v>
      </c>
      <c r="G546">
        <v>171136</v>
      </c>
      <c r="H546">
        <v>28</v>
      </c>
      <c r="I546" t="s">
        <v>79</v>
      </c>
      <c r="J546" s="9">
        <v>42186</v>
      </c>
      <c r="K546" s="1">
        <v>6112</v>
      </c>
      <c r="L546" s="1" t="s">
        <v>165</v>
      </c>
    </row>
    <row r="547" spans="1:12" x14ac:dyDescent="0.25">
      <c r="A547" t="s">
        <v>154</v>
      </c>
      <c r="B547" t="s">
        <v>181</v>
      </c>
      <c r="C547" t="s">
        <v>122</v>
      </c>
      <c r="D547" t="s">
        <v>162</v>
      </c>
      <c r="E547" t="s">
        <v>5</v>
      </c>
      <c r="F547" t="s">
        <v>7</v>
      </c>
      <c r="G547">
        <v>82065</v>
      </c>
      <c r="H547">
        <v>37</v>
      </c>
      <c r="I547" t="s">
        <v>79</v>
      </c>
      <c r="J547" s="9">
        <v>42188</v>
      </c>
      <c r="K547" s="1">
        <v>2217.9729729999999</v>
      </c>
      <c r="L547" s="1" t="s">
        <v>167</v>
      </c>
    </row>
    <row r="548" spans="1:12" x14ac:dyDescent="0.25">
      <c r="A548" t="s">
        <v>154</v>
      </c>
      <c r="B548" t="s">
        <v>181</v>
      </c>
      <c r="C548" t="s">
        <v>185</v>
      </c>
      <c r="D548" t="s">
        <v>162</v>
      </c>
      <c r="E548" t="s">
        <v>5</v>
      </c>
      <c r="F548" t="s">
        <v>10</v>
      </c>
      <c r="G548">
        <v>153126</v>
      </c>
      <c r="H548">
        <v>32</v>
      </c>
      <c r="I548" t="s">
        <v>81</v>
      </c>
      <c r="J548" s="9">
        <v>42209</v>
      </c>
      <c r="K548" s="1">
        <v>4785.1875</v>
      </c>
      <c r="L548" s="1" t="s">
        <v>165</v>
      </c>
    </row>
    <row r="549" spans="1:12" x14ac:dyDescent="0.25">
      <c r="A549" t="s">
        <v>154</v>
      </c>
      <c r="B549" t="s">
        <v>181</v>
      </c>
      <c r="C549" t="s">
        <v>140</v>
      </c>
      <c r="D549" t="s">
        <v>88</v>
      </c>
      <c r="E549" t="s">
        <v>9</v>
      </c>
      <c r="F549" t="s">
        <v>6</v>
      </c>
      <c r="G549">
        <v>231400</v>
      </c>
      <c r="H549">
        <v>34</v>
      </c>
      <c r="I549" t="s">
        <v>79</v>
      </c>
      <c r="J549" s="9">
        <v>42186</v>
      </c>
      <c r="K549" s="1">
        <v>6805.882353</v>
      </c>
      <c r="L549" s="1" t="s">
        <v>166</v>
      </c>
    </row>
    <row r="550" spans="1:12" x14ac:dyDescent="0.25">
      <c r="A550" t="s">
        <v>154</v>
      </c>
      <c r="B550" t="s">
        <v>181</v>
      </c>
      <c r="C550" t="s">
        <v>140</v>
      </c>
      <c r="D550" t="s">
        <v>88</v>
      </c>
      <c r="E550" t="s">
        <v>9</v>
      </c>
      <c r="F550" t="s">
        <v>6</v>
      </c>
      <c r="G550">
        <v>224684</v>
      </c>
      <c r="H550">
        <v>38</v>
      </c>
      <c r="I550" t="s">
        <v>79</v>
      </c>
      <c r="J550" s="9">
        <v>42186</v>
      </c>
      <c r="K550" s="1">
        <v>5912.7368420000003</v>
      </c>
      <c r="L550" s="1" t="s">
        <v>166</v>
      </c>
    </row>
    <row r="551" spans="1:12" x14ac:dyDescent="0.25">
      <c r="A551" t="s">
        <v>154</v>
      </c>
      <c r="B551" t="s">
        <v>181</v>
      </c>
      <c r="C551" t="s">
        <v>144</v>
      </c>
      <c r="D551" t="s">
        <v>163</v>
      </c>
      <c r="E551" t="s">
        <v>5</v>
      </c>
      <c r="F551" t="s">
        <v>12</v>
      </c>
      <c r="G551">
        <v>219831</v>
      </c>
      <c r="H551">
        <v>28</v>
      </c>
      <c r="I551" t="s">
        <v>79</v>
      </c>
      <c r="J551" s="9">
        <v>42186</v>
      </c>
      <c r="K551" s="1">
        <v>7851.1071430000002</v>
      </c>
      <c r="L551" s="1" t="s">
        <v>166</v>
      </c>
    </row>
    <row r="552" spans="1:12" x14ac:dyDescent="0.25">
      <c r="A552" t="s">
        <v>154</v>
      </c>
      <c r="B552" t="s">
        <v>181</v>
      </c>
      <c r="C552" t="s">
        <v>144</v>
      </c>
      <c r="D552" t="s">
        <v>163</v>
      </c>
      <c r="E552" t="s">
        <v>5</v>
      </c>
      <c r="F552" t="s">
        <v>12</v>
      </c>
      <c r="G552">
        <v>66563</v>
      </c>
      <c r="H552">
        <v>17</v>
      </c>
      <c r="I552" t="s">
        <v>180</v>
      </c>
      <c r="J552" s="9">
        <v>42186</v>
      </c>
      <c r="K552" s="1">
        <v>3915.4705880000001</v>
      </c>
      <c r="L552" s="1" t="s">
        <v>167</v>
      </c>
    </row>
    <row r="553" spans="1:12" x14ac:dyDescent="0.25">
      <c r="A553" t="s">
        <v>154</v>
      </c>
      <c r="B553" t="s">
        <v>181</v>
      </c>
      <c r="C553" t="s">
        <v>144</v>
      </c>
      <c r="D553" t="s">
        <v>163</v>
      </c>
      <c r="E553" t="s">
        <v>5</v>
      </c>
      <c r="F553" t="s">
        <v>12</v>
      </c>
      <c r="G553">
        <v>235887</v>
      </c>
      <c r="H553">
        <v>33</v>
      </c>
      <c r="I553" t="s">
        <v>180</v>
      </c>
      <c r="J553" s="9">
        <v>42186</v>
      </c>
      <c r="K553" s="1">
        <v>7148.0909089999996</v>
      </c>
      <c r="L553" s="1" t="s">
        <v>166</v>
      </c>
    </row>
    <row r="554" spans="1:12" x14ac:dyDescent="0.25">
      <c r="A554" t="s">
        <v>154</v>
      </c>
      <c r="B554" t="s">
        <v>181</v>
      </c>
      <c r="C554" t="s">
        <v>126</v>
      </c>
      <c r="D554" t="s">
        <v>88</v>
      </c>
      <c r="E554" t="s">
        <v>9</v>
      </c>
      <c r="F554" t="s">
        <v>6</v>
      </c>
      <c r="G554">
        <v>150988</v>
      </c>
      <c r="H554">
        <v>27</v>
      </c>
      <c r="I554" t="s">
        <v>180</v>
      </c>
      <c r="J554" s="9">
        <v>42216</v>
      </c>
      <c r="K554" s="1">
        <v>5592.1481480000002</v>
      </c>
      <c r="L554" s="1" t="s">
        <v>165</v>
      </c>
    </row>
    <row r="555" spans="1:12" x14ac:dyDescent="0.25">
      <c r="A555" t="s">
        <v>154</v>
      </c>
      <c r="B555" t="s">
        <v>181</v>
      </c>
      <c r="C555" t="s">
        <v>56</v>
      </c>
      <c r="D555" t="s">
        <v>88</v>
      </c>
      <c r="E555" t="s">
        <v>9</v>
      </c>
      <c r="F555" t="s">
        <v>6</v>
      </c>
      <c r="G555">
        <v>200255</v>
      </c>
      <c r="H555">
        <v>28</v>
      </c>
      <c r="I555" t="s">
        <v>82</v>
      </c>
      <c r="J555" s="9">
        <v>42215</v>
      </c>
      <c r="K555" s="1">
        <v>7151.9642860000004</v>
      </c>
      <c r="L555" s="1" t="s">
        <v>166</v>
      </c>
    </row>
    <row r="556" spans="1:12" x14ac:dyDescent="0.25">
      <c r="A556" t="s">
        <v>154</v>
      </c>
      <c r="B556" t="s">
        <v>181</v>
      </c>
      <c r="C556" t="s">
        <v>147</v>
      </c>
      <c r="D556" t="s">
        <v>91</v>
      </c>
      <c r="E556" t="s">
        <v>9</v>
      </c>
      <c r="F556" t="s">
        <v>7</v>
      </c>
      <c r="G556">
        <v>118900</v>
      </c>
      <c r="H556">
        <v>22</v>
      </c>
      <c r="I556" t="s">
        <v>79</v>
      </c>
      <c r="J556" s="9">
        <v>42186</v>
      </c>
      <c r="K556" s="1">
        <v>5404.5454550000004</v>
      </c>
      <c r="L556" s="1" t="s">
        <v>165</v>
      </c>
    </row>
    <row r="557" spans="1:12" x14ac:dyDescent="0.25">
      <c r="A557" t="s">
        <v>154</v>
      </c>
      <c r="B557" t="s">
        <v>181</v>
      </c>
      <c r="C557" t="s">
        <v>185</v>
      </c>
      <c r="D557" t="s">
        <v>162</v>
      </c>
      <c r="E557" t="s">
        <v>5</v>
      </c>
      <c r="F557" t="s">
        <v>10</v>
      </c>
      <c r="G557">
        <v>71730</v>
      </c>
      <c r="H557">
        <v>36</v>
      </c>
      <c r="I557" t="s">
        <v>79</v>
      </c>
      <c r="J557" s="9">
        <v>42209</v>
      </c>
      <c r="K557" s="1">
        <v>1992.5</v>
      </c>
      <c r="L557" s="1" t="s">
        <v>167</v>
      </c>
    </row>
    <row r="558" spans="1:12" x14ac:dyDescent="0.25">
      <c r="A558" t="s">
        <v>154</v>
      </c>
      <c r="B558" t="s">
        <v>181</v>
      </c>
      <c r="C558" t="s">
        <v>126</v>
      </c>
      <c r="D558" t="s">
        <v>91</v>
      </c>
      <c r="E558" t="s">
        <v>9</v>
      </c>
      <c r="F558" t="s">
        <v>7</v>
      </c>
      <c r="G558">
        <v>104555</v>
      </c>
      <c r="H558">
        <v>27</v>
      </c>
      <c r="I558" t="s">
        <v>79</v>
      </c>
      <c r="J558" s="9">
        <v>42186</v>
      </c>
      <c r="K558" s="1">
        <v>3872.4074070000001</v>
      </c>
      <c r="L558" s="1" t="s">
        <v>165</v>
      </c>
    </row>
    <row r="559" spans="1:12" x14ac:dyDescent="0.25">
      <c r="A559" t="s">
        <v>154</v>
      </c>
      <c r="B559" t="s">
        <v>181</v>
      </c>
      <c r="C559" t="s">
        <v>144</v>
      </c>
      <c r="D559" t="s">
        <v>163</v>
      </c>
      <c r="E559" t="s">
        <v>5</v>
      </c>
      <c r="F559" t="s">
        <v>12</v>
      </c>
      <c r="G559">
        <v>75775</v>
      </c>
      <c r="H559">
        <v>20</v>
      </c>
      <c r="I559" t="s">
        <v>82</v>
      </c>
      <c r="J559" s="9">
        <v>42186</v>
      </c>
      <c r="K559" s="1">
        <v>3788.75</v>
      </c>
      <c r="L559" s="1" t="s">
        <v>167</v>
      </c>
    </row>
    <row r="560" spans="1:12" x14ac:dyDescent="0.25">
      <c r="A560" t="s">
        <v>154</v>
      </c>
      <c r="B560" t="s">
        <v>181</v>
      </c>
      <c r="C560" t="s">
        <v>144</v>
      </c>
      <c r="D560" t="s">
        <v>85</v>
      </c>
      <c r="E560" t="s">
        <v>5</v>
      </c>
      <c r="F560" t="s">
        <v>12</v>
      </c>
      <c r="G560">
        <v>140675</v>
      </c>
      <c r="H560">
        <v>22</v>
      </c>
      <c r="I560" t="s">
        <v>79</v>
      </c>
      <c r="J560" s="9">
        <v>42186</v>
      </c>
      <c r="K560" s="1">
        <v>6394.318182</v>
      </c>
      <c r="L560" s="1" t="s">
        <v>165</v>
      </c>
    </row>
    <row r="561" spans="1:12" x14ac:dyDescent="0.25">
      <c r="A561" t="s">
        <v>154</v>
      </c>
      <c r="B561" t="s">
        <v>181</v>
      </c>
      <c r="C561" t="s">
        <v>23</v>
      </c>
      <c r="D561" t="s">
        <v>163</v>
      </c>
      <c r="E561" t="s">
        <v>5</v>
      </c>
      <c r="F561" t="s">
        <v>6</v>
      </c>
      <c r="G561">
        <v>208659</v>
      </c>
      <c r="H561">
        <v>28</v>
      </c>
      <c r="I561" t="s">
        <v>93</v>
      </c>
      <c r="J561" s="9">
        <v>42188</v>
      </c>
      <c r="K561" s="1">
        <v>7452.1071430000002</v>
      </c>
      <c r="L561" s="1" t="s">
        <v>166</v>
      </c>
    </row>
    <row r="562" spans="1:12" x14ac:dyDescent="0.25">
      <c r="A562" t="s">
        <v>154</v>
      </c>
      <c r="B562" t="s">
        <v>181</v>
      </c>
      <c r="C562" t="s">
        <v>123</v>
      </c>
      <c r="D562" t="s">
        <v>163</v>
      </c>
      <c r="E562" t="s">
        <v>5</v>
      </c>
      <c r="F562" t="s">
        <v>6</v>
      </c>
      <c r="G562">
        <v>106754</v>
      </c>
      <c r="H562">
        <v>38</v>
      </c>
      <c r="I562" t="s">
        <v>180</v>
      </c>
      <c r="J562" s="9">
        <v>42186</v>
      </c>
      <c r="K562" s="1">
        <v>2809.3157890000002</v>
      </c>
      <c r="L562" s="1" t="s">
        <v>165</v>
      </c>
    </row>
    <row r="563" spans="1:12" x14ac:dyDescent="0.25">
      <c r="A563" t="s">
        <v>154</v>
      </c>
      <c r="B563" t="s">
        <v>181</v>
      </c>
      <c r="C563" t="s">
        <v>140</v>
      </c>
      <c r="D563" t="s">
        <v>88</v>
      </c>
      <c r="E563" t="s">
        <v>9</v>
      </c>
      <c r="F563" t="s">
        <v>6</v>
      </c>
      <c r="G563">
        <v>245753</v>
      </c>
      <c r="H563">
        <v>35</v>
      </c>
      <c r="I563" t="s">
        <v>79</v>
      </c>
      <c r="J563" s="9">
        <v>42186</v>
      </c>
      <c r="K563" s="1">
        <v>7021.5142859999996</v>
      </c>
      <c r="L563" s="1" t="s">
        <v>166</v>
      </c>
    </row>
    <row r="564" spans="1:12" x14ac:dyDescent="0.25">
      <c r="A564" t="s">
        <v>154</v>
      </c>
      <c r="B564" t="s">
        <v>181</v>
      </c>
      <c r="C564" t="s">
        <v>15</v>
      </c>
      <c r="D564" t="s">
        <v>162</v>
      </c>
      <c r="E564" t="s">
        <v>5</v>
      </c>
      <c r="F564" t="s">
        <v>7</v>
      </c>
      <c r="G564">
        <v>245158</v>
      </c>
      <c r="H564">
        <v>24</v>
      </c>
      <c r="I564" t="s">
        <v>79</v>
      </c>
      <c r="J564" s="9">
        <v>42186</v>
      </c>
      <c r="K564" s="1">
        <v>10214.916670000001</v>
      </c>
      <c r="L564" s="1" t="s">
        <v>166</v>
      </c>
    </row>
    <row r="565" spans="1:12" x14ac:dyDescent="0.25">
      <c r="A565" t="s">
        <v>154</v>
      </c>
      <c r="B565" t="s">
        <v>181</v>
      </c>
      <c r="C565" t="s">
        <v>126</v>
      </c>
      <c r="D565" t="s">
        <v>91</v>
      </c>
      <c r="E565" t="s">
        <v>9</v>
      </c>
      <c r="F565" t="s">
        <v>7</v>
      </c>
      <c r="G565">
        <v>53581</v>
      </c>
      <c r="H565">
        <v>29</v>
      </c>
      <c r="I565" t="s">
        <v>82</v>
      </c>
      <c r="J565" s="9">
        <v>42186</v>
      </c>
      <c r="K565" s="1">
        <v>1847.62069</v>
      </c>
      <c r="L565" s="1" t="s">
        <v>167</v>
      </c>
    </row>
    <row r="566" spans="1:12" x14ac:dyDescent="0.25">
      <c r="A566" t="s">
        <v>154</v>
      </c>
      <c r="B566" t="s">
        <v>181</v>
      </c>
      <c r="C566" t="s">
        <v>126</v>
      </c>
      <c r="D566" t="s">
        <v>91</v>
      </c>
      <c r="E566" t="s">
        <v>9</v>
      </c>
      <c r="F566" t="s">
        <v>7</v>
      </c>
      <c r="G566">
        <v>221642</v>
      </c>
      <c r="H566">
        <v>33</v>
      </c>
      <c r="I566" t="s">
        <v>79</v>
      </c>
      <c r="J566" s="9">
        <v>42186</v>
      </c>
      <c r="K566" s="1">
        <v>6716.424242</v>
      </c>
      <c r="L566" s="1" t="s">
        <v>166</v>
      </c>
    </row>
    <row r="567" spans="1:12" x14ac:dyDescent="0.25">
      <c r="A567" t="s">
        <v>154</v>
      </c>
      <c r="B567" t="s">
        <v>181</v>
      </c>
      <c r="C567" t="s">
        <v>127</v>
      </c>
      <c r="D567" t="s">
        <v>163</v>
      </c>
      <c r="E567" t="s">
        <v>5</v>
      </c>
      <c r="F567" t="s">
        <v>6</v>
      </c>
      <c r="G567">
        <v>104596</v>
      </c>
      <c r="H567">
        <v>16</v>
      </c>
      <c r="I567" t="s">
        <v>81</v>
      </c>
      <c r="J567" s="9">
        <v>42202</v>
      </c>
      <c r="K567" s="1">
        <v>6537.25</v>
      </c>
      <c r="L567" s="1" t="s">
        <v>165</v>
      </c>
    </row>
    <row r="568" spans="1:12" x14ac:dyDescent="0.25">
      <c r="A568" t="s">
        <v>154</v>
      </c>
      <c r="B568" t="s">
        <v>181</v>
      </c>
      <c r="C568" t="s">
        <v>127</v>
      </c>
      <c r="D568" t="s">
        <v>163</v>
      </c>
      <c r="E568" t="s">
        <v>5</v>
      </c>
      <c r="F568" t="s">
        <v>6</v>
      </c>
      <c r="G568">
        <v>151243</v>
      </c>
      <c r="H568">
        <v>18</v>
      </c>
      <c r="I568" t="s">
        <v>81</v>
      </c>
      <c r="J568" s="9">
        <v>42202</v>
      </c>
      <c r="K568" s="1">
        <v>8402.3888889999998</v>
      </c>
      <c r="L568" s="1" t="s">
        <v>165</v>
      </c>
    </row>
    <row r="569" spans="1:12" x14ac:dyDescent="0.25">
      <c r="A569" t="s">
        <v>154</v>
      </c>
      <c r="B569" t="s">
        <v>181</v>
      </c>
      <c r="C569" t="s">
        <v>23</v>
      </c>
      <c r="D569" t="s">
        <v>163</v>
      </c>
      <c r="E569" t="s">
        <v>5</v>
      </c>
      <c r="F569" t="s">
        <v>6</v>
      </c>
      <c r="G569">
        <v>234289</v>
      </c>
      <c r="H569">
        <v>31</v>
      </c>
      <c r="I569" t="s">
        <v>93</v>
      </c>
      <c r="J569" s="9">
        <v>42198</v>
      </c>
      <c r="K569" s="1">
        <v>7557.7096769999998</v>
      </c>
      <c r="L569" s="1" t="s">
        <v>166</v>
      </c>
    </row>
    <row r="570" spans="1:12" x14ac:dyDescent="0.25">
      <c r="A570" t="s">
        <v>154</v>
      </c>
      <c r="B570" t="s">
        <v>181</v>
      </c>
      <c r="C570" t="s">
        <v>147</v>
      </c>
      <c r="D570" t="s">
        <v>162</v>
      </c>
      <c r="E570" t="s">
        <v>5</v>
      </c>
      <c r="F570" t="s">
        <v>7</v>
      </c>
      <c r="G570">
        <v>206768</v>
      </c>
      <c r="H570">
        <v>25</v>
      </c>
      <c r="I570" t="s">
        <v>93</v>
      </c>
      <c r="J570" s="9">
        <v>42186</v>
      </c>
      <c r="K570" s="1">
        <v>8270.7199999999993</v>
      </c>
      <c r="L570" s="1" t="s">
        <v>166</v>
      </c>
    </row>
    <row r="571" spans="1:12" x14ac:dyDescent="0.25">
      <c r="A571" t="s">
        <v>154</v>
      </c>
      <c r="B571" t="s">
        <v>181</v>
      </c>
      <c r="C571" t="s">
        <v>56</v>
      </c>
      <c r="D571" t="s">
        <v>88</v>
      </c>
      <c r="E571" t="s">
        <v>9</v>
      </c>
      <c r="F571" t="s">
        <v>6</v>
      </c>
      <c r="G571">
        <v>174640</v>
      </c>
      <c r="H571">
        <v>39</v>
      </c>
      <c r="I571" t="s">
        <v>81</v>
      </c>
      <c r="J571" s="9">
        <v>42215</v>
      </c>
      <c r="K571" s="1">
        <v>4477.9487179999996</v>
      </c>
      <c r="L571" s="1" t="s">
        <v>165</v>
      </c>
    </row>
    <row r="572" spans="1:12" x14ac:dyDescent="0.25">
      <c r="A572" t="s">
        <v>154</v>
      </c>
      <c r="B572" t="s">
        <v>181</v>
      </c>
      <c r="C572" t="s">
        <v>51</v>
      </c>
      <c r="D572" t="s">
        <v>91</v>
      </c>
      <c r="E572" t="s">
        <v>9</v>
      </c>
      <c r="F572" t="s">
        <v>6</v>
      </c>
      <c r="G572">
        <v>141749</v>
      </c>
      <c r="H572">
        <v>37</v>
      </c>
      <c r="I572" t="s">
        <v>82</v>
      </c>
      <c r="J572" s="9">
        <v>42190</v>
      </c>
      <c r="K572" s="1">
        <v>3831.0540540000002</v>
      </c>
      <c r="L572" s="1" t="s">
        <v>165</v>
      </c>
    </row>
    <row r="573" spans="1:12" x14ac:dyDescent="0.25">
      <c r="A573" t="s">
        <v>154</v>
      </c>
      <c r="B573" t="s">
        <v>181</v>
      </c>
      <c r="C573" t="s">
        <v>4</v>
      </c>
      <c r="D573" t="s">
        <v>162</v>
      </c>
      <c r="E573" t="s">
        <v>5</v>
      </c>
      <c r="F573" t="s">
        <v>6</v>
      </c>
      <c r="G573">
        <v>228711</v>
      </c>
      <c r="H573">
        <v>22</v>
      </c>
      <c r="I573" t="s">
        <v>81</v>
      </c>
      <c r="J573" s="9">
        <v>42186</v>
      </c>
      <c r="K573" s="1">
        <v>10395.95455</v>
      </c>
      <c r="L573" s="1" t="s">
        <v>166</v>
      </c>
    </row>
    <row r="574" spans="1:12" x14ac:dyDescent="0.25">
      <c r="A574" t="s">
        <v>154</v>
      </c>
      <c r="B574" t="s">
        <v>181</v>
      </c>
      <c r="C574" t="s">
        <v>147</v>
      </c>
      <c r="D574" t="s">
        <v>91</v>
      </c>
      <c r="E574" t="s">
        <v>9</v>
      </c>
      <c r="F574" t="s">
        <v>6</v>
      </c>
      <c r="G574">
        <v>60934</v>
      </c>
      <c r="H574">
        <v>31</v>
      </c>
      <c r="I574" t="s">
        <v>79</v>
      </c>
      <c r="J574" s="9">
        <v>42186</v>
      </c>
      <c r="K574" s="1">
        <v>1965.612903</v>
      </c>
      <c r="L574" s="1" t="s">
        <v>167</v>
      </c>
    </row>
    <row r="575" spans="1:12" x14ac:dyDescent="0.25">
      <c r="A575" t="s">
        <v>154</v>
      </c>
      <c r="B575" t="s">
        <v>181</v>
      </c>
      <c r="C575" t="s">
        <v>140</v>
      </c>
      <c r="D575" t="s">
        <v>88</v>
      </c>
      <c r="E575" t="s">
        <v>9</v>
      </c>
      <c r="F575" t="s">
        <v>6</v>
      </c>
      <c r="G575">
        <v>128909</v>
      </c>
      <c r="H575">
        <v>29</v>
      </c>
      <c r="I575" t="s">
        <v>180</v>
      </c>
      <c r="J575" s="9">
        <v>42186</v>
      </c>
      <c r="K575" s="1">
        <v>4445.1379310000002</v>
      </c>
      <c r="L575" s="1" t="s">
        <v>165</v>
      </c>
    </row>
    <row r="576" spans="1:12" x14ac:dyDescent="0.25">
      <c r="A576" t="s">
        <v>154</v>
      </c>
      <c r="B576" t="s">
        <v>181</v>
      </c>
      <c r="C576" t="s">
        <v>140</v>
      </c>
      <c r="D576" t="s">
        <v>88</v>
      </c>
      <c r="E576" t="s">
        <v>9</v>
      </c>
      <c r="F576" t="s">
        <v>6</v>
      </c>
      <c r="G576">
        <v>202750</v>
      </c>
      <c r="H576">
        <v>38</v>
      </c>
      <c r="I576" t="s">
        <v>180</v>
      </c>
      <c r="J576" s="9">
        <v>42186</v>
      </c>
      <c r="K576" s="1">
        <v>5335.5263160000004</v>
      </c>
      <c r="L576" s="1" t="s">
        <v>166</v>
      </c>
    </row>
    <row r="577" spans="1:12" x14ac:dyDescent="0.25">
      <c r="A577" t="s">
        <v>154</v>
      </c>
      <c r="B577" t="s">
        <v>181</v>
      </c>
      <c r="C577" t="s">
        <v>144</v>
      </c>
      <c r="D577" t="s">
        <v>163</v>
      </c>
      <c r="E577" t="s">
        <v>5</v>
      </c>
      <c r="F577" t="s">
        <v>12</v>
      </c>
      <c r="G577">
        <v>229554</v>
      </c>
      <c r="H577">
        <v>35</v>
      </c>
      <c r="I577" t="s">
        <v>180</v>
      </c>
      <c r="J577" s="9">
        <v>42186</v>
      </c>
      <c r="K577" s="1">
        <v>6558.6857140000002</v>
      </c>
      <c r="L577" s="1" t="s">
        <v>166</v>
      </c>
    </row>
    <row r="578" spans="1:12" x14ac:dyDescent="0.25">
      <c r="A578" t="s">
        <v>154</v>
      </c>
      <c r="B578" t="s">
        <v>181</v>
      </c>
      <c r="C578" t="s">
        <v>193</v>
      </c>
      <c r="D578" t="s">
        <v>91</v>
      </c>
      <c r="E578" t="s">
        <v>9</v>
      </c>
      <c r="F578" t="s">
        <v>7</v>
      </c>
      <c r="G578">
        <v>153522</v>
      </c>
      <c r="H578">
        <v>23</v>
      </c>
      <c r="I578" t="s">
        <v>81</v>
      </c>
      <c r="J578" s="9">
        <v>42193</v>
      </c>
      <c r="K578" s="1">
        <v>6674.869565</v>
      </c>
      <c r="L578" s="1" t="s">
        <v>165</v>
      </c>
    </row>
    <row r="579" spans="1:12" x14ac:dyDescent="0.25">
      <c r="A579" t="s">
        <v>155</v>
      </c>
      <c r="B579" t="s">
        <v>181</v>
      </c>
      <c r="C579" t="s">
        <v>119</v>
      </c>
      <c r="D579" t="s">
        <v>161</v>
      </c>
      <c r="E579" t="s">
        <v>9</v>
      </c>
      <c r="F579" t="s">
        <v>7</v>
      </c>
      <c r="G579">
        <v>64470</v>
      </c>
      <c r="H579">
        <v>33</v>
      </c>
      <c r="I579" t="s">
        <v>79</v>
      </c>
      <c r="J579" s="9">
        <v>42522</v>
      </c>
      <c r="K579" s="1">
        <v>1953.636364</v>
      </c>
      <c r="L579" s="1" t="s">
        <v>167</v>
      </c>
    </row>
    <row r="580" spans="1:12" x14ac:dyDescent="0.25">
      <c r="A580" t="s">
        <v>155</v>
      </c>
      <c r="B580" t="s">
        <v>181</v>
      </c>
      <c r="C580" t="s">
        <v>139</v>
      </c>
      <c r="D580" t="s">
        <v>161</v>
      </c>
      <c r="E580" t="s">
        <v>9</v>
      </c>
      <c r="F580" t="s">
        <v>6</v>
      </c>
      <c r="G580">
        <v>103417</v>
      </c>
      <c r="H580">
        <v>23</v>
      </c>
      <c r="I580" t="s">
        <v>81</v>
      </c>
      <c r="J580" s="9">
        <v>42522</v>
      </c>
      <c r="K580" s="1">
        <v>4496.3913039999998</v>
      </c>
      <c r="L580" s="1" t="s">
        <v>165</v>
      </c>
    </row>
    <row r="581" spans="1:12" x14ac:dyDescent="0.25">
      <c r="A581" t="s">
        <v>156</v>
      </c>
      <c r="B581" t="s">
        <v>181</v>
      </c>
      <c r="C581" t="s">
        <v>119</v>
      </c>
      <c r="D581" t="s">
        <v>161</v>
      </c>
      <c r="E581" t="s">
        <v>9</v>
      </c>
      <c r="F581" t="s">
        <v>7</v>
      </c>
      <c r="G581">
        <v>246778</v>
      </c>
      <c r="H581">
        <v>25</v>
      </c>
      <c r="I581" t="s">
        <v>79</v>
      </c>
      <c r="J581" s="9">
        <v>42522</v>
      </c>
      <c r="K581" s="1">
        <v>9871.1200000000008</v>
      </c>
      <c r="L581" s="1" t="s">
        <v>166</v>
      </c>
    </row>
    <row r="582" spans="1:12" x14ac:dyDescent="0.25">
      <c r="A582" t="s">
        <v>156</v>
      </c>
      <c r="B582" t="s">
        <v>181</v>
      </c>
      <c r="C582" t="s">
        <v>119</v>
      </c>
      <c r="D582" t="s">
        <v>161</v>
      </c>
      <c r="E582" t="s">
        <v>9</v>
      </c>
      <c r="F582" t="s">
        <v>7</v>
      </c>
      <c r="G582">
        <v>97611</v>
      </c>
      <c r="H582">
        <v>32</v>
      </c>
      <c r="I582" t="s">
        <v>79</v>
      </c>
      <c r="J582" s="9">
        <v>42522</v>
      </c>
      <c r="K582" s="1">
        <v>3050.34375</v>
      </c>
      <c r="L582" s="1" t="s">
        <v>167</v>
      </c>
    </row>
    <row r="583" spans="1:12" x14ac:dyDescent="0.25">
      <c r="A583" t="s">
        <v>150</v>
      </c>
      <c r="B583" t="s">
        <v>181</v>
      </c>
      <c r="C583" t="s">
        <v>119</v>
      </c>
      <c r="D583" t="s">
        <v>161</v>
      </c>
      <c r="E583" t="s">
        <v>9</v>
      </c>
      <c r="F583" t="s">
        <v>7</v>
      </c>
      <c r="G583">
        <v>87307</v>
      </c>
      <c r="H583">
        <v>34</v>
      </c>
      <c r="I583" t="s">
        <v>79</v>
      </c>
      <c r="J583" s="9">
        <v>42522</v>
      </c>
      <c r="K583" s="1">
        <v>2567.8529410000001</v>
      </c>
      <c r="L583" s="1" t="s">
        <v>167</v>
      </c>
    </row>
    <row r="584" spans="1:12" x14ac:dyDescent="0.25">
      <c r="A584" t="s">
        <v>150</v>
      </c>
      <c r="B584" t="s">
        <v>181</v>
      </c>
      <c r="C584" t="s">
        <v>185</v>
      </c>
      <c r="D584" t="s">
        <v>162</v>
      </c>
      <c r="E584" t="s">
        <v>5</v>
      </c>
      <c r="F584" t="s">
        <v>6</v>
      </c>
      <c r="G584">
        <v>198264</v>
      </c>
      <c r="H584">
        <v>29</v>
      </c>
      <c r="I584" t="s">
        <v>180</v>
      </c>
      <c r="J584" s="9">
        <v>42551</v>
      </c>
      <c r="K584" s="1">
        <v>6836.6896550000001</v>
      </c>
      <c r="L584" s="1" t="s">
        <v>165</v>
      </c>
    </row>
    <row r="585" spans="1:12" x14ac:dyDescent="0.25">
      <c r="A585" t="s">
        <v>157</v>
      </c>
      <c r="B585" t="s">
        <v>181</v>
      </c>
      <c r="C585" t="s">
        <v>139</v>
      </c>
      <c r="D585" t="s">
        <v>161</v>
      </c>
      <c r="E585" t="s">
        <v>9</v>
      </c>
      <c r="F585" t="s">
        <v>6</v>
      </c>
      <c r="G585">
        <v>223252</v>
      </c>
      <c r="H585">
        <v>28</v>
      </c>
      <c r="I585" t="s">
        <v>79</v>
      </c>
      <c r="J585" s="9">
        <v>42522</v>
      </c>
      <c r="K585" s="1">
        <v>7973.2857139999996</v>
      </c>
      <c r="L585" s="1" t="s">
        <v>166</v>
      </c>
    </row>
    <row r="586" spans="1:12" x14ac:dyDescent="0.25">
      <c r="A586" t="s">
        <v>157</v>
      </c>
      <c r="B586" t="s">
        <v>181</v>
      </c>
      <c r="C586" t="s">
        <v>147</v>
      </c>
      <c r="D586" t="s">
        <v>162</v>
      </c>
      <c r="E586" t="s">
        <v>5</v>
      </c>
      <c r="F586" t="s">
        <v>7</v>
      </c>
      <c r="G586">
        <v>67981</v>
      </c>
      <c r="H586">
        <v>29</v>
      </c>
      <c r="I586" t="s">
        <v>180</v>
      </c>
      <c r="J586" s="9">
        <v>42551</v>
      </c>
      <c r="K586" s="1">
        <v>2344.1724140000001</v>
      </c>
      <c r="L586" s="1" t="s">
        <v>167</v>
      </c>
    </row>
    <row r="587" spans="1:12" x14ac:dyDescent="0.25">
      <c r="A587" t="s">
        <v>157</v>
      </c>
      <c r="B587" t="s">
        <v>181</v>
      </c>
      <c r="C587" t="s">
        <v>119</v>
      </c>
      <c r="D587" t="s">
        <v>161</v>
      </c>
      <c r="E587" t="s">
        <v>9</v>
      </c>
      <c r="F587" t="s">
        <v>7</v>
      </c>
      <c r="G587">
        <v>190313</v>
      </c>
      <c r="H587">
        <v>39</v>
      </c>
      <c r="I587" t="s">
        <v>79</v>
      </c>
      <c r="J587" s="9">
        <v>42522</v>
      </c>
      <c r="K587" s="1">
        <v>4879.8205129999997</v>
      </c>
      <c r="L587" s="1" t="s">
        <v>165</v>
      </c>
    </row>
    <row r="588" spans="1:12" x14ac:dyDescent="0.25">
      <c r="A588" t="s">
        <v>157</v>
      </c>
      <c r="B588" t="s">
        <v>181</v>
      </c>
      <c r="C588" t="s">
        <v>4</v>
      </c>
      <c r="D588" t="s">
        <v>162</v>
      </c>
      <c r="E588" t="s">
        <v>5</v>
      </c>
      <c r="F588" t="s">
        <v>6</v>
      </c>
      <c r="G588">
        <v>86941</v>
      </c>
      <c r="H588">
        <v>38</v>
      </c>
      <c r="I588" t="s">
        <v>93</v>
      </c>
      <c r="J588" s="9">
        <v>42544</v>
      </c>
      <c r="K588" s="1">
        <v>2287.921053</v>
      </c>
      <c r="L588" s="1" t="s">
        <v>167</v>
      </c>
    </row>
    <row r="589" spans="1:12" x14ac:dyDescent="0.25">
      <c r="A589" t="s">
        <v>157</v>
      </c>
      <c r="B589" t="s">
        <v>181</v>
      </c>
      <c r="C589" t="s">
        <v>139</v>
      </c>
      <c r="D589" t="s">
        <v>161</v>
      </c>
      <c r="E589" t="s">
        <v>9</v>
      </c>
      <c r="F589" t="s">
        <v>6</v>
      </c>
      <c r="G589">
        <v>212428</v>
      </c>
      <c r="H589">
        <v>24</v>
      </c>
      <c r="I589" t="s">
        <v>81</v>
      </c>
      <c r="J589" s="9">
        <v>42522</v>
      </c>
      <c r="K589" s="1">
        <v>8851.1666669999995</v>
      </c>
      <c r="L589" s="1" t="s">
        <v>166</v>
      </c>
    </row>
    <row r="590" spans="1:12" x14ac:dyDescent="0.25">
      <c r="A590" t="s">
        <v>157</v>
      </c>
      <c r="B590" t="s">
        <v>181</v>
      </c>
      <c r="C590" t="s">
        <v>139</v>
      </c>
      <c r="D590" t="s">
        <v>161</v>
      </c>
      <c r="E590" t="s">
        <v>9</v>
      </c>
      <c r="F590" t="s">
        <v>6</v>
      </c>
      <c r="G590">
        <v>117311</v>
      </c>
      <c r="H590">
        <v>32</v>
      </c>
      <c r="I590" t="s">
        <v>79</v>
      </c>
      <c r="J590" s="9">
        <v>42522</v>
      </c>
      <c r="K590" s="1">
        <v>3665.96875</v>
      </c>
      <c r="L590" s="1" t="s">
        <v>165</v>
      </c>
    </row>
    <row r="591" spans="1:12" x14ac:dyDescent="0.25">
      <c r="A591" t="s">
        <v>157</v>
      </c>
      <c r="B591" t="s">
        <v>181</v>
      </c>
      <c r="C591" t="s">
        <v>41</v>
      </c>
      <c r="D591" t="s">
        <v>161</v>
      </c>
      <c r="E591" t="s">
        <v>9</v>
      </c>
      <c r="F591" t="s">
        <v>6</v>
      </c>
      <c r="G591">
        <v>110235</v>
      </c>
      <c r="H591">
        <v>21</v>
      </c>
      <c r="I591" t="s">
        <v>79</v>
      </c>
      <c r="J591" s="9">
        <v>42522</v>
      </c>
      <c r="K591" s="1">
        <v>5249.2857139999996</v>
      </c>
      <c r="L591" s="1" t="s">
        <v>165</v>
      </c>
    </row>
    <row r="592" spans="1:12" x14ac:dyDescent="0.25">
      <c r="A592" t="s">
        <v>157</v>
      </c>
      <c r="B592" t="s">
        <v>181</v>
      </c>
      <c r="C592" t="s">
        <v>139</v>
      </c>
      <c r="D592" t="s">
        <v>161</v>
      </c>
      <c r="E592" t="s">
        <v>9</v>
      </c>
      <c r="F592" t="s">
        <v>6</v>
      </c>
      <c r="G592">
        <v>69039</v>
      </c>
      <c r="H592">
        <v>34</v>
      </c>
      <c r="I592" t="s">
        <v>79</v>
      </c>
      <c r="J592" s="9">
        <v>42522</v>
      </c>
      <c r="K592" s="1">
        <v>2030.558824</v>
      </c>
      <c r="L592" s="1" t="s">
        <v>167</v>
      </c>
    </row>
    <row r="593" spans="1:12" x14ac:dyDescent="0.25">
      <c r="A593" t="s">
        <v>157</v>
      </c>
      <c r="B593" t="s">
        <v>181</v>
      </c>
      <c r="C593" t="s">
        <v>139</v>
      </c>
      <c r="D593" t="s">
        <v>161</v>
      </c>
      <c r="E593" t="s">
        <v>9</v>
      </c>
      <c r="F593" t="s">
        <v>6</v>
      </c>
      <c r="G593">
        <v>232708</v>
      </c>
      <c r="H593">
        <v>35</v>
      </c>
      <c r="I593" t="s">
        <v>180</v>
      </c>
      <c r="J593" s="9">
        <v>42522</v>
      </c>
      <c r="K593" s="1">
        <v>6648.8</v>
      </c>
      <c r="L593" s="1" t="s">
        <v>166</v>
      </c>
    </row>
    <row r="594" spans="1:12" x14ac:dyDescent="0.25">
      <c r="A594" t="s">
        <v>157</v>
      </c>
      <c r="B594" t="s">
        <v>181</v>
      </c>
      <c r="C594" t="s">
        <v>141</v>
      </c>
      <c r="D594" t="s">
        <v>162</v>
      </c>
      <c r="E594" t="s">
        <v>5</v>
      </c>
      <c r="F594" t="s">
        <v>6</v>
      </c>
      <c r="G594">
        <v>92420</v>
      </c>
      <c r="H594">
        <v>29</v>
      </c>
      <c r="I594" t="s">
        <v>93</v>
      </c>
      <c r="J594" s="9">
        <v>42529</v>
      </c>
      <c r="K594" s="1">
        <v>3186.8965520000002</v>
      </c>
      <c r="L594" s="1" t="s">
        <v>167</v>
      </c>
    </row>
    <row r="595" spans="1:12" x14ac:dyDescent="0.25">
      <c r="A595" t="s">
        <v>157</v>
      </c>
      <c r="B595" t="s">
        <v>181</v>
      </c>
      <c r="C595" t="s">
        <v>139</v>
      </c>
      <c r="D595" t="s">
        <v>161</v>
      </c>
      <c r="E595" t="s">
        <v>9</v>
      </c>
      <c r="F595" t="s">
        <v>6</v>
      </c>
      <c r="G595">
        <v>232480</v>
      </c>
      <c r="H595">
        <v>42</v>
      </c>
      <c r="I595" t="s">
        <v>79</v>
      </c>
      <c r="J595" s="9">
        <v>42522</v>
      </c>
      <c r="K595" s="1">
        <v>5535.2380949999997</v>
      </c>
      <c r="L595" s="1" t="s">
        <v>166</v>
      </c>
    </row>
    <row r="596" spans="1:12" x14ac:dyDescent="0.25">
      <c r="A596" t="s">
        <v>151</v>
      </c>
      <c r="B596" t="s">
        <v>181</v>
      </c>
      <c r="C596" t="s">
        <v>15</v>
      </c>
      <c r="D596" t="s">
        <v>162</v>
      </c>
      <c r="E596" t="s">
        <v>5</v>
      </c>
      <c r="F596" t="s">
        <v>7</v>
      </c>
      <c r="G596">
        <v>220375</v>
      </c>
      <c r="H596">
        <v>34</v>
      </c>
      <c r="I596" t="s">
        <v>79</v>
      </c>
      <c r="J596" s="9">
        <v>42551</v>
      </c>
      <c r="K596" s="1">
        <v>6481.617647</v>
      </c>
      <c r="L596" s="1" t="s">
        <v>166</v>
      </c>
    </row>
    <row r="597" spans="1:12" x14ac:dyDescent="0.25">
      <c r="A597" t="s">
        <v>151</v>
      </c>
      <c r="B597" t="s">
        <v>181</v>
      </c>
      <c r="C597" t="s">
        <v>119</v>
      </c>
      <c r="D597" t="s">
        <v>161</v>
      </c>
      <c r="E597" t="s">
        <v>9</v>
      </c>
      <c r="F597" t="s">
        <v>7</v>
      </c>
      <c r="G597">
        <v>230137</v>
      </c>
      <c r="H597">
        <v>20</v>
      </c>
      <c r="I597" t="s">
        <v>81</v>
      </c>
      <c r="J597" s="9">
        <v>42522</v>
      </c>
      <c r="K597" s="1">
        <v>11506.85</v>
      </c>
      <c r="L597" s="1" t="s">
        <v>166</v>
      </c>
    </row>
    <row r="598" spans="1:12" x14ac:dyDescent="0.25">
      <c r="A598" t="s">
        <v>151</v>
      </c>
      <c r="B598" t="s">
        <v>181</v>
      </c>
      <c r="C598" t="s">
        <v>139</v>
      </c>
      <c r="D598" t="s">
        <v>161</v>
      </c>
      <c r="E598" t="s">
        <v>9</v>
      </c>
      <c r="F598" t="s">
        <v>6</v>
      </c>
      <c r="G598">
        <v>79736</v>
      </c>
      <c r="H598">
        <v>27</v>
      </c>
      <c r="I598" t="s">
        <v>82</v>
      </c>
      <c r="J598" s="9">
        <v>42522</v>
      </c>
      <c r="K598" s="1">
        <v>2953.1851849999998</v>
      </c>
      <c r="L598" s="1" t="s">
        <v>167</v>
      </c>
    </row>
    <row r="599" spans="1:12" x14ac:dyDescent="0.25">
      <c r="A599" t="s">
        <v>151</v>
      </c>
      <c r="B599" t="s">
        <v>181</v>
      </c>
      <c r="C599" t="s">
        <v>147</v>
      </c>
      <c r="D599" t="s">
        <v>162</v>
      </c>
      <c r="E599" t="s">
        <v>5</v>
      </c>
      <c r="F599" t="s">
        <v>7</v>
      </c>
      <c r="G599">
        <v>240803</v>
      </c>
      <c r="H599">
        <v>18</v>
      </c>
      <c r="I599" t="s">
        <v>180</v>
      </c>
      <c r="J599" s="9">
        <v>42551</v>
      </c>
      <c r="K599" s="1">
        <v>13377.944439999999</v>
      </c>
      <c r="L599" s="1" t="s">
        <v>166</v>
      </c>
    </row>
    <row r="600" spans="1:12" x14ac:dyDescent="0.25">
      <c r="A600" t="s">
        <v>151</v>
      </c>
      <c r="B600" t="s">
        <v>181</v>
      </c>
      <c r="C600" t="s">
        <v>143</v>
      </c>
      <c r="D600" t="s">
        <v>162</v>
      </c>
      <c r="E600" t="s">
        <v>5</v>
      </c>
      <c r="F600" t="s">
        <v>6</v>
      </c>
      <c r="G600">
        <v>109108</v>
      </c>
      <c r="H600">
        <v>19</v>
      </c>
      <c r="I600" t="s">
        <v>180</v>
      </c>
      <c r="J600" s="9">
        <v>42530</v>
      </c>
      <c r="K600" s="1">
        <v>5742.5263160000004</v>
      </c>
      <c r="L600" s="1" t="s">
        <v>165</v>
      </c>
    </row>
    <row r="601" spans="1:12" x14ac:dyDescent="0.25">
      <c r="A601" t="s">
        <v>151</v>
      </c>
      <c r="B601" t="s">
        <v>181</v>
      </c>
      <c r="C601" t="s">
        <v>119</v>
      </c>
      <c r="D601" t="s">
        <v>161</v>
      </c>
      <c r="E601" t="s">
        <v>9</v>
      </c>
      <c r="F601" t="s">
        <v>7</v>
      </c>
      <c r="G601">
        <v>137267</v>
      </c>
      <c r="H601">
        <v>40</v>
      </c>
      <c r="I601" t="s">
        <v>79</v>
      </c>
      <c r="J601" s="9">
        <v>42522</v>
      </c>
      <c r="K601" s="1">
        <v>3431.6750000000002</v>
      </c>
      <c r="L601" s="1" t="s">
        <v>165</v>
      </c>
    </row>
    <row r="602" spans="1:12" x14ac:dyDescent="0.25">
      <c r="A602" t="s">
        <v>151</v>
      </c>
      <c r="B602" t="s">
        <v>181</v>
      </c>
      <c r="C602" t="s">
        <v>139</v>
      </c>
      <c r="D602" t="s">
        <v>161</v>
      </c>
      <c r="E602" t="s">
        <v>9</v>
      </c>
      <c r="F602" t="s">
        <v>6</v>
      </c>
      <c r="G602">
        <v>84325</v>
      </c>
      <c r="H602">
        <v>21</v>
      </c>
      <c r="I602" t="s">
        <v>81</v>
      </c>
      <c r="J602" s="9">
        <v>42522</v>
      </c>
      <c r="K602" s="1">
        <v>4015.4761899999999</v>
      </c>
      <c r="L602" s="1" t="s">
        <v>167</v>
      </c>
    </row>
    <row r="603" spans="1:12" x14ac:dyDescent="0.25">
      <c r="A603" t="s">
        <v>151</v>
      </c>
      <c r="B603" t="s">
        <v>181</v>
      </c>
      <c r="C603" t="s">
        <v>23</v>
      </c>
      <c r="D603" t="s">
        <v>162</v>
      </c>
      <c r="E603" t="s">
        <v>5</v>
      </c>
      <c r="F603" t="s">
        <v>6</v>
      </c>
      <c r="G603">
        <v>179250</v>
      </c>
      <c r="H603">
        <v>23</v>
      </c>
      <c r="I603" t="s">
        <v>93</v>
      </c>
      <c r="J603" s="9">
        <v>42536</v>
      </c>
      <c r="K603" s="1">
        <v>7793.4782610000002</v>
      </c>
      <c r="L603" s="1" t="s">
        <v>165</v>
      </c>
    </row>
    <row r="604" spans="1:12" x14ac:dyDescent="0.25">
      <c r="A604" t="s">
        <v>151</v>
      </c>
      <c r="B604" t="s">
        <v>181</v>
      </c>
      <c r="C604" t="s">
        <v>119</v>
      </c>
      <c r="D604" t="s">
        <v>161</v>
      </c>
      <c r="E604" t="s">
        <v>9</v>
      </c>
      <c r="F604" t="s">
        <v>7</v>
      </c>
      <c r="G604">
        <v>151335</v>
      </c>
      <c r="H604">
        <v>16</v>
      </c>
      <c r="I604" t="s">
        <v>180</v>
      </c>
      <c r="J604" s="9">
        <v>42522</v>
      </c>
      <c r="K604" s="1">
        <v>9458.4375</v>
      </c>
      <c r="L604" s="1" t="s">
        <v>165</v>
      </c>
    </row>
    <row r="605" spans="1:12" x14ac:dyDescent="0.25">
      <c r="A605" t="s">
        <v>151</v>
      </c>
      <c r="B605" t="s">
        <v>181</v>
      </c>
      <c r="C605" t="s">
        <v>119</v>
      </c>
      <c r="D605" t="s">
        <v>161</v>
      </c>
      <c r="E605" t="s">
        <v>9</v>
      </c>
      <c r="F605" t="s">
        <v>7</v>
      </c>
      <c r="G605">
        <v>53918</v>
      </c>
      <c r="H605">
        <v>32</v>
      </c>
      <c r="I605" t="s">
        <v>82</v>
      </c>
      <c r="J605" s="9">
        <v>42522</v>
      </c>
      <c r="K605" s="1">
        <v>1684.9375</v>
      </c>
      <c r="L605" s="1" t="s">
        <v>167</v>
      </c>
    </row>
    <row r="606" spans="1:12" x14ac:dyDescent="0.25">
      <c r="A606" t="s">
        <v>151</v>
      </c>
      <c r="B606" t="s">
        <v>181</v>
      </c>
      <c r="C606" t="s">
        <v>139</v>
      </c>
      <c r="D606" t="s">
        <v>161</v>
      </c>
      <c r="E606" t="s">
        <v>9</v>
      </c>
      <c r="F606" t="s">
        <v>6</v>
      </c>
      <c r="G606">
        <v>230011</v>
      </c>
      <c r="H606">
        <v>39</v>
      </c>
      <c r="I606" t="s">
        <v>79</v>
      </c>
      <c r="J606" s="9">
        <v>42522</v>
      </c>
      <c r="K606" s="1">
        <v>5897.7179489999999</v>
      </c>
      <c r="L606" s="1" t="s">
        <v>166</v>
      </c>
    </row>
    <row r="607" spans="1:12" x14ac:dyDescent="0.25">
      <c r="A607" t="s">
        <v>151</v>
      </c>
      <c r="B607" t="s">
        <v>181</v>
      </c>
      <c r="C607" t="s">
        <v>119</v>
      </c>
      <c r="D607" t="s">
        <v>161</v>
      </c>
      <c r="E607" t="s">
        <v>9</v>
      </c>
      <c r="F607" t="s">
        <v>7</v>
      </c>
      <c r="G607">
        <v>93244</v>
      </c>
      <c r="H607">
        <v>33</v>
      </c>
      <c r="I607" t="s">
        <v>79</v>
      </c>
      <c r="J607" s="9">
        <v>42522</v>
      </c>
      <c r="K607" s="1">
        <v>2825.575758</v>
      </c>
      <c r="L607" s="1" t="s">
        <v>167</v>
      </c>
    </row>
    <row r="608" spans="1:12" x14ac:dyDescent="0.25">
      <c r="A608" t="s">
        <v>151</v>
      </c>
      <c r="B608" t="s">
        <v>181</v>
      </c>
      <c r="C608" t="s">
        <v>119</v>
      </c>
      <c r="D608" t="s">
        <v>161</v>
      </c>
      <c r="E608" t="s">
        <v>9</v>
      </c>
      <c r="F608" t="s">
        <v>7</v>
      </c>
      <c r="G608">
        <v>207045</v>
      </c>
      <c r="H608">
        <v>24</v>
      </c>
      <c r="I608" t="s">
        <v>81</v>
      </c>
      <c r="J608" s="9">
        <v>42522</v>
      </c>
      <c r="K608" s="1">
        <v>8626.875</v>
      </c>
      <c r="L608" s="1" t="s">
        <v>166</v>
      </c>
    </row>
    <row r="609" spans="1:12" x14ac:dyDescent="0.25">
      <c r="A609" t="s">
        <v>151</v>
      </c>
      <c r="B609" t="s">
        <v>181</v>
      </c>
      <c r="C609" t="s">
        <v>139</v>
      </c>
      <c r="D609" t="s">
        <v>161</v>
      </c>
      <c r="E609" t="s">
        <v>9</v>
      </c>
      <c r="F609" t="s">
        <v>6</v>
      </c>
      <c r="G609">
        <v>229982</v>
      </c>
      <c r="H609">
        <v>42</v>
      </c>
      <c r="I609" t="s">
        <v>81</v>
      </c>
      <c r="J609" s="9">
        <v>42522</v>
      </c>
      <c r="K609" s="1">
        <v>5475.7619050000003</v>
      </c>
      <c r="L609" s="1" t="s">
        <v>166</v>
      </c>
    </row>
    <row r="610" spans="1:12" x14ac:dyDescent="0.25">
      <c r="A610" t="s">
        <v>151</v>
      </c>
      <c r="B610" t="s">
        <v>181</v>
      </c>
      <c r="C610" t="s">
        <v>139</v>
      </c>
      <c r="D610" t="s">
        <v>161</v>
      </c>
      <c r="E610" t="s">
        <v>9</v>
      </c>
      <c r="F610" t="s">
        <v>6</v>
      </c>
      <c r="G610">
        <v>91418</v>
      </c>
      <c r="H610">
        <v>26</v>
      </c>
      <c r="I610" t="s">
        <v>79</v>
      </c>
      <c r="J610" s="9">
        <v>42522</v>
      </c>
      <c r="K610" s="1">
        <v>3516.0769230000001</v>
      </c>
      <c r="L610" s="1" t="s">
        <v>167</v>
      </c>
    </row>
    <row r="611" spans="1:12" x14ac:dyDescent="0.25">
      <c r="A611" t="s">
        <v>151</v>
      </c>
      <c r="B611" t="s">
        <v>181</v>
      </c>
      <c r="C611" t="s">
        <v>139</v>
      </c>
      <c r="D611" t="s">
        <v>161</v>
      </c>
      <c r="E611" t="s">
        <v>9</v>
      </c>
      <c r="F611" t="s">
        <v>6</v>
      </c>
      <c r="G611">
        <v>109295</v>
      </c>
      <c r="H611">
        <v>25</v>
      </c>
      <c r="I611" t="s">
        <v>79</v>
      </c>
      <c r="J611" s="9">
        <v>42522</v>
      </c>
      <c r="K611" s="1">
        <v>4371.8</v>
      </c>
      <c r="L611" s="1" t="s">
        <v>165</v>
      </c>
    </row>
    <row r="612" spans="1:12" x14ac:dyDescent="0.25">
      <c r="A612" t="s">
        <v>151</v>
      </c>
      <c r="B612" t="s">
        <v>181</v>
      </c>
      <c r="C612" t="s">
        <v>139</v>
      </c>
      <c r="D612" t="s">
        <v>161</v>
      </c>
      <c r="E612" t="s">
        <v>9</v>
      </c>
      <c r="F612" t="s">
        <v>6</v>
      </c>
      <c r="G612">
        <v>175214</v>
      </c>
      <c r="H612">
        <v>34</v>
      </c>
      <c r="I612" t="s">
        <v>180</v>
      </c>
      <c r="J612" s="9">
        <v>42522</v>
      </c>
      <c r="K612" s="1">
        <v>5153.3529410000001</v>
      </c>
      <c r="L612" s="1" t="s">
        <v>165</v>
      </c>
    </row>
    <row r="613" spans="1:12" x14ac:dyDescent="0.25">
      <c r="A613" t="s">
        <v>151</v>
      </c>
      <c r="B613" t="s">
        <v>181</v>
      </c>
      <c r="C613" t="s">
        <v>139</v>
      </c>
      <c r="D613" t="s">
        <v>161</v>
      </c>
      <c r="E613" t="s">
        <v>9</v>
      </c>
      <c r="F613" t="s">
        <v>6</v>
      </c>
      <c r="G613">
        <v>227601</v>
      </c>
      <c r="H613">
        <v>21</v>
      </c>
      <c r="I613" t="s">
        <v>79</v>
      </c>
      <c r="J613" s="9">
        <v>42522</v>
      </c>
      <c r="K613" s="1">
        <v>10838.14286</v>
      </c>
      <c r="L613" s="1" t="s">
        <v>166</v>
      </c>
    </row>
    <row r="614" spans="1:12" x14ac:dyDescent="0.25">
      <c r="A614" t="s">
        <v>152</v>
      </c>
      <c r="B614" t="s">
        <v>181</v>
      </c>
      <c r="C614" t="s">
        <v>119</v>
      </c>
      <c r="D614" t="s">
        <v>161</v>
      </c>
      <c r="E614" t="s">
        <v>9</v>
      </c>
      <c r="F614" t="s">
        <v>7</v>
      </c>
      <c r="G614">
        <v>152397</v>
      </c>
      <c r="H614">
        <v>23</v>
      </c>
      <c r="I614" t="s">
        <v>81</v>
      </c>
      <c r="J614" s="9">
        <v>42522</v>
      </c>
      <c r="K614" s="1">
        <v>6625.9565220000004</v>
      </c>
      <c r="L614" s="1" t="s">
        <v>165</v>
      </c>
    </row>
    <row r="615" spans="1:12" x14ac:dyDescent="0.25">
      <c r="A615" t="s">
        <v>152</v>
      </c>
      <c r="B615" t="s">
        <v>181</v>
      </c>
      <c r="C615" t="s">
        <v>119</v>
      </c>
      <c r="D615" t="s">
        <v>161</v>
      </c>
      <c r="E615" t="s">
        <v>9</v>
      </c>
      <c r="F615" t="s">
        <v>7</v>
      </c>
      <c r="G615">
        <v>55680</v>
      </c>
      <c r="H615">
        <v>38</v>
      </c>
      <c r="I615" t="s">
        <v>81</v>
      </c>
      <c r="J615" s="9">
        <v>42522</v>
      </c>
      <c r="K615" s="1">
        <v>1465.263158</v>
      </c>
      <c r="L615" s="1" t="s">
        <v>167</v>
      </c>
    </row>
    <row r="616" spans="1:12" x14ac:dyDescent="0.25">
      <c r="A616" t="s">
        <v>152</v>
      </c>
      <c r="B616" t="s">
        <v>181</v>
      </c>
      <c r="C616" t="s">
        <v>139</v>
      </c>
      <c r="D616" t="s">
        <v>161</v>
      </c>
      <c r="E616" t="s">
        <v>9</v>
      </c>
      <c r="F616" t="s">
        <v>6</v>
      </c>
      <c r="G616">
        <v>59189</v>
      </c>
      <c r="H616">
        <v>19</v>
      </c>
      <c r="I616" t="s">
        <v>79</v>
      </c>
      <c r="J616" s="9">
        <v>42522</v>
      </c>
      <c r="K616" s="1">
        <v>3115.2105259999998</v>
      </c>
      <c r="L616" s="1" t="s">
        <v>167</v>
      </c>
    </row>
    <row r="617" spans="1:12" x14ac:dyDescent="0.25">
      <c r="A617" t="s">
        <v>152</v>
      </c>
      <c r="B617" t="s">
        <v>181</v>
      </c>
      <c r="C617" t="s">
        <v>41</v>
      </c>
      <c r="D617" t="s">
        <v>161</v>
      </c>
      <c r="E617" t="s">
        <v>9</v>
      </c>
      <c r="F617" t="s">
        <v>6</v>
      </c>
      <c r="G617">
        <v>209422</v>
      </c>
      <c r="H617">
        <v>16</v>
      </c>
      <c r="I617" t="s">
        <v>79</v>
      </c>
      <c r="J617" s="9">
        <v>42522</v>
      </c>
      <c r="K617" s="1">
        <v>13088.875</v>
      </c>
      <c r="L617" s="1" t="s">
        <v>166</v>
      </c>
    </row>
    <row r="618" spans="1:12" x14ac:dyDescent="0.25">
      <c r="A618" t="s">
        <v>153</v>
      </c>
      <c r="B618" t="s">
        <v>181</v>
      </c>
      <c r="C618" t="s">
        <v>119</v>
      </c>
      <c r="D618" t="s">
        <v>161</v>
      </c>
      <c r="E618" t="s">
        <v>9</v>
      </c>
      <c r="F618" t="s">
        <v>7</v>
      </c>
      <c r="G618">
        <v>53978</v>
      </c>
      <c r="H618">
        <v>19</v>
      </c>
      <c r="I618" t="s">
        <v>79</v>
      </c>
      <c r="J618" s="9">
        <v>42522</v>
      </c>
      <c r="K618" s="1">
        <v>2840.9473680000001</v>
      </c>
      <c r="L618" s="1" t="s">
        <v>167</v>
      </c>
    </row>
    <row r="619" spans="1:12" x14ac:dyDescent="0.25">
      <c r="A619" t="s">
        <v>153</v>
      </c>
      <c r="B619" t="s">
        <v>181</v>
      </c>
      <c r="C619" t="s">
        <v>139</v>
      </c>
      <c r="D619" t="s">
        <v>161</v>
      </c>
      <c r="E619" t="s">
        <v>9</v>
      </c>
      <c r="F619" t="s">
        <v>6</v>
      </c>
      <c r="G619">
        <v>197094</v>
      </c>
      <c r="H619">
        <v>29</v>
      </c>
      <c r="I619" t="s">
        <v>79</v>
      </c>
      <c r="J619" s="9">
        <v>42522</v>
      </c>
      <c r="K619" s="1">
        <v>6796.3448280000002</v>
      </c>
      <c r="L619" s="1" t="s">
        <v>165</v>
      </c>
    </row>
    <row r="620" spans="1:12" x14ac:dyDescent="0.25">
      <c r="A620" t="s">
        <v>153</v>
      </c>
      <c r="B620" t="s">
        <v>181</v>
      </c>
      <c r="C620" t="s">
        <v>143</v>
      </c>
      <c r="D620" t="s">
        <v>162</v>
      </c>
      <c r="E620" t="s">
        <v>5</v>
      </c>
      <c r="F620" t="s">
        <v>6</v>
      </c>
      <c r="G620">
        <v>154972</v>
      </c>
      <c r="H620">
        <v>26</v>
      </c>
      <c r="I620" t="s">
        <v>180</v>
      </c>
      <c r="J620" s="9">
        <v>42551</v>
      </c>
      <c r="K620" s="1">
        <v>5960.4615379999996</v>
      </c>
      <c r="L620" s="1" t="s">
        <v>165</v>
      </c>
    </row>
    <row r="621" spans="1:12" x14ac:dyDescent="0.25">
      <c r="A621" t="s">
        <v>153</v>
      </c>
      <c r="B621" t="s">
        <v>181</v>
      </c>
      <c r="C621" t="s">
        <v>139</v>
      </c>
      <c r="D621" t="s">
        <v>161</v>
      </c>
      <c r="E621" t="s">
        <v>9</v>
      </c>
      <c r="F621" t="s">
        <v>6</v>
      </c>
      <c r="G621">
        <v>124202</v>
      </c>
      <c r="H621">
        <v>21</v>
      </c>
      <c r="I621" t="s">
        <v>81</v>
      </c>
      <c r="J621" s="9">
        <v>42522</v>
      </c>
      <c r="K621" s="1">
        <v>5914.3809520000004</v>
      </c>
      <c r="L621" s="1" t="s">
        <v>165</v>
      </c>
    </row>
    <row r="622" spans="1:12" x14ac:dyDescent="0.25">
      <c r="A622" t="s">
        <v>153</v>
      </c>
      <c r="B622" t="s">
        <v>181</v>
      </c>
      <c r="C622" t="s">
        <v>139</v>
      </c>
      <c r="D622" t="s">
        <v>161</v>
      </c>
      <c r="E622" t="s">
        <v>9</v>
      </c>
      <c r="F622" t="s">
        <v>6</v>
      </c>
      <c r="G622">
        <v>181232</v>
      </c>
      <c r="H622">
        <v>30</v>
      </c>
      <c r="I622" t="s">
        <v>79</v>
      </c>
      <c r="J622" s="9">
        <v>42522</v>
      </c>
      <c r="K622" s="1">
        <v>6041.0666670000001</v>
      </c>
      <c r="L622" s="1" t="s">
        <v>165</v>
      </c>
    </row>
    <row r="623" spans="1:12" x14ac:dyDescent="0.25">
      <c r="A623" t="s">
        <v>153</v>
      </c>
      <c r="B623" t="s">
        <v>181</v>
      </c>
      <c r="C623" t="s">
        <v>139</v>
      </c>
      <c r="D623" t="s">
        <v>161</v>
      </c>
      <c r="E623" t="s">
        <v>9</v>
      </c>
      <c r="F623" t="s">
        <v>6</v>
      </c>
      <c r="G623">
        <v>101777</v>
      </c>
      <c r="H623">
        <v>39</v>
      </c>
      <c r="I623" t="s">
        <v>79</v>
      </c>
      <c r="J623" s="9">
        <v>42522</v>
      </c>
      <c r="K623" s="1">
        <v>2609.666667</v>
      </c>
      <c r="L623" s="1" t="s">
        <v>165</v>
      </c>
    </row>
    <row r="624" spans="1:12" x14ac:dyDescent="0.25">
      <c r="A624" t="s">
        <v>153</v>
      </c>
      <c r="B624" t="s">
        <v>181</v>
      </c>
      <c r="C624" t="s">
        <v>41</v>
      </c>
      <c r="D624" t="s">
        <v>161</v>
      </c>
      <c r="E624" t="s">
        <v>9</v>
      </c>
      <c r="F624" t="s">
        <v>6</v>
      </c>
      <c r="G624">
        <v>180470</v>
      </c>
      <c r="H624">
        <v>17</v>
      </c>
      <c r="I624" t="s">
        <v>180</v>
      </c>
      <c r="J624" s="9">
        <v>42522</v>
      </c>
      <c r="K624" s="1">
        <v>10615.88235</v>
      </c>
      <c r="L624" s="1" t="s">
        <v>165</v>
      </c>
    </row>
    <row r="625" spans="1:12" x14ac:dyDescent="0.25">
      <c r="A625" t="s">
        <v>154</v>
      </c>
      <c r="B625" t="s">
        <v>181</v>
      </c>
      <c r="C625" t="s">
        <v>15</v>
      </c>
      <c r="D625" t="s">
        <v>162</v>
      </c>
      <c r="E625" t="s">
        <v>5</v>
      </c>
      <c r="F625" t="s">
        <v>7</v>
      </c>
      <c r="G625">
        <v>86311</v>
      </c>
      <c r="H625">
        <v>18</v>
      </c>
      <c r="I625" t="s">
        <v>180</v>
      </c>
      <c r="J625" s="9">
        <v>42551</v>
      </c>
      <c r="K625" s="1">
        <v>4795.0555560000003</v>
      </c>
      <c r="L625" s="1" t="s">
        <v>167</v>
      </c>
    </row>
    <row r="626" spans="1:12" x14ac:dyDescent="0.25">
      <c r="A626" t="s">
        <v>154</v>
      </c>
      <c r="B626" t="s">
        <v>181</v>
      </c>
      <c r="C626" t="s">
        <v>41</v>
      </c>
      <c r="D626" t="s">
        <v>161</v>
      </c>
      <c r="E626" t="s">
        <v>9</v>
      </c>
      <c r="F626" t="s">
        <v>6</v>
      </c>
      <c r="G626">
        <v>110468</v>
      </c>
      <c r="H626">
        <v>27</v>
      </c>
      <c r="I626" t="s">
        <v>81</v>
      </c>
      <c r="J626" s="9">
        <v>42522</v>
      </c>
      <c r="K626" s="1">
        <v>4091.4074070000001</v>
      </c>
      <c r="L626" s="1" t="s">
        <v>165</v>
      </c>
    </row>
    <row r="627" spans="1:12" x14ac:dyDescent="0.25">
      <c r="A627" t="s">
        <v>154</v>
      </c>
      <c r="B627" t="s">
        <v>181</v>
      </c>
      <c r="C627" t="s">
        <v>139</v>
      </c>
      <c r="D627" t="s">
        <v>161</v>
      </c>
      <c r="E627" t="s">
        <v>9</v>
      </c>
      <c r="F627" t="s">
        <v>6</v>
      </c>
      <c r="G627">
        <v>131273</v>
      </c>
      <c r="H627">
        <v>40</v>
      </c>
      <c r="I627" t="s">
        <v>79</v>
      </c>
      <c r="J627" s="9">
        <v>42522</v>
      </c>
      <c r="K627" s="1">
        <v>3281.8249999999998</v>
      </c>
      <c r="L627" s="1" t="s">
        <v>165</v>
      </c>
    </row>
    <row r="628" spans="1:12" x14ac:dyDescent="0.25">
      <c r="A628" t="s">
        <v>154</v>
      </c>
      <c r="B628" t="s">
        <v>181</v>
      </c>
      <c r="C628" t="s">
        <v>119</v>
      </c>
      <c r="D628" t="s">
        <v>161</v>
      </c>
      <c r="E628" t="s">
        <v>9</v>
      </c>
      <c r="F628" t="s">
        <v>7</v>
      </c>
      <c r="G628">
        <v>106806</v>
      </c>
      <c r="H628">
        <v>24</v>
      </c>
      <c r="I628" t="s">
        <v>81</v>
      </c>
      <c r="J628" s="9">
        <v>42522</v>
      </c>
      <c r="K628" s="1">
        <v>4450.25</v>
      </c>
      <c r="L628" s="1" t="s">
        <v>165</v>
      </c>
    </row>
    <row r="629" spans="1:12" x14ac:dyDescent="0.25">
      <c r="A629" t="s">
        <v>154</v>
      </c>
      <c r="B629" t="s">
        <v>181</v>
      </c>
      <c r="C629" t="s">
        <v>41</v>
      </c>
      <c r="D629" t="s">
        <v>161</v>
      </c>
      <c r="E629" t="s">
        <v>9</v>
      </c>
      <c r="F629" t="s">
        <v>6</v>
      </c>
      <c r="G629">
        <v>68692</v>
      </c>
      <c r="H629">
        <v>22</v>
      </c>
      <c r="I629" t="s">
        <v>81</v>
      </c>
      <c r="J629" s="9">
        <v>42522</v>
      </c>
      <c r="K629" s="1">
        <v>3122.363636</v>
      </c>
      <c r="L629" s="1" t="s">
        <v>167</v>
      </c>
    </row>
    <row r="630" spans="1:12" x14ac:dyDescent="0.25">
      <c r="A630" t="s">
        <v>154</v>
      </c>
      <c r="B630" t="s">
        <v>181</v>
      </c>
      <c r="C630" t="s">
        <v>139</v>
      </c>
      <c r="D630" t="s">
        <v>161</v>
      </c>
      <c r="E630" t="s">
        <v>9</v>
      </c>
      <c r="F630" t="s">
        <v>6</v>
      </c>
      <c r="G630">
        <v>90565</v>
      </c>
      <c r="H630">
        <v>15</v>
      </c>
      <c r="I630" t="s">
        <v>79</v>
      </c>
      <c r="J630" s="9">
        <v>42522</v>
      </c>
      <c r="K630" s="1">
        <v>6037.6666670000004</v>
      </c>
      <c r="L630" s="1" t="s">
        <v>167</v>
      </c>
    </row>
    <row r="631" spans="1:12" x14ac:dyDescent="0.25">
      <c r="A631" t="s">
        <v>155</v>
      </c>
      <c r="B631" t="s">
        <v>181</v>
      </c>
      <c r="C631" t="s">
        <v>115</v>
      </c>
      <c r="D631" t="s">
        <v>161</v>
      </c>
      <c r="E631" t="s">
        <v>9</v>
      </c>
      <c r="F631" t="s">
        <v>7</v>
      </c>
      <c r="G631">
        <v>79294</v>
      </c>
      <c r="H631">
        <v>30</v>
      </c>
      <c r="I631" t="s">
        <v>82</v>
      </c>
      <c r="J631" s="9">
        <v>42430</v>
      </c>
      <c r="K631" s="1">
        <v>2643.1333330000002</v>
      </c>
      <c r="L631" s="1" t="s">
        <v>167</v>
      </c>
    </row>
    <row r="632" spans="1:12" x14ac:dyDescent="0.25">
      <c r="A632" t="s">
        <v>156</v>
      </c>
      <c r="B632" t="s">
        <v>181</v>
      </c>
      <c r="C632" t="s">
        <v>128</v>
      </c>
      <c r="D632" t="s">
        <v>91</v>
      </c>
      <c r="E632" t="s">
        <v>9</v>
      </c>
      <c r="F632" t="s">
        <v>6</v>
      </c>
      <c r="G632">
        <v>97248</v>
      </c>
      <c r="H632">
        <v>38</v>
      </c>
      <c r="I632" t="s">
        <v>180</v>
      </c>
      <c r="J632" s="9">
        <v>42430</v>
      </c>
      <c r="K632" s="1">
        <v>2559.1578949999998</v>
      </c>
      <c r="L632" s="1" t="s">
        <v>167</v>
      </c>
    </row>
    <row r="633" spans="1:12" x14ac:dyDescent="0.25">
      <c r="A633" t="s">
        <v>150</v>
      </c>
      <c r="B633" t="s">
        <v>181</v>
      </c>
      <c r="C633" t="s">
        <v>128</v>
      </c>
      <c r="D633" t="s">
        <v>91</v>
      </c>
      <c r="E633" t="s">
        <v>9</v>
      </c>
      <c r="F633" t="s">
        <v>6</v>
      </c>
      <c r="G633">
        <v>70958</v>
      </c>
      <c r="H633">
        <v>31</v>
      </c>
      <c r="I633" t="s">
        <v>79</v>
      </c>
      <c r="J633" s="9">
        <v>42430</v>
      </c>
      <c r="K633" s="1">
        <v>2288.9677419999998</v>
      </c>
      <c r="L633" s="1" t="s">
        <v>167</v>
      </c>
    </row>
    <row r="634" spans="1:12" x14ac:dyDescent="0.25">
      <c r="A634" t="s">
        <v>150</v>
      </c>
      <c r="B634" t="s">
        <v>181</v>
      </c>
      <c r="C634" t="s">
        <v>115</v>
      </c>
      <c r="D634" t="s">
        <v>91</v>
      </c>
      <c r="E634" t="s">
        <v>9</v>
      </c>
      <c r="F634" t="s">
        <v>7</v>
      </c>
      <c r="G634">
        <v>215277</v>
      </c>
      <c r="H634">
        <v>20</v>
      </c>
      <c r="I634" t="s">
        <v>81</v>
      </c>
      <c r="J634" s="9">
        <v>42430</v>
      </c>
      <c r="K634" s="1">
        <v>10763.85</v>
      </c>
      <c r="L634" s="1" t="s">
        <v>166</v>
      </c>
    </row>
    <row r="635" spans="1:12" x14ac:dyDescent="0.25">
      <c r="A635" t="s">
        <v>150</v>
      </c>
      <c r="B635" t="s">
        <v>181</v>
      </c>
      <c r="C635" t="s">
        <v>115</v>
      </c>
      <c r="D635" t="s">
        <v>161</v>
      </c>
      <c r="E635" t="s">
        <v>9</v>
      </c>
      <c r="F635" t="s">
        <v>7</v>
      </c>
      <c r="G635">
        <v>169193</v>
      </c>
      <c r="H635">
        <v>16</v>
      </c>
      <c r="I635" t="s">
        <v>79</v>
      </c>
      <c r="J635" s="9">
        <v>42430</v>
      </c>
      <c r="K635" s="1">
        <v>10574.5625</v>
      </c>
      <c r="L635" s="1" t="s">
        <v>165</v>
      </c>
    </row>
    <row r="636" spans="1:12" x14ac:dyDescent="0.25">
      <c r="A636" t="s">
        <v>150</v>
      </c>
      <c r="B636" t="s">
        <v>181</v>
      </c>
      <c r="C636" t="s">
        <v>115</v>
      </c>
      <c r="D636" t="s">
        <v>161</v>
      </c>
      <c r="E636" t="s">
        <v>9</v>
      </c>
      <c r="F636" t="s">
        <v>7</v>
      </c>
      <c r="G636">
        <v>62746</v>
      </c>
      <c r="H636">
        <v>37</v>
      </c>
      <c r="I636" t="s">
        <v>180</v>
      </c>
      <c r="J636" s="9">
        <v>42430</v>
      </c>
      <c r="K636" s="1">
        <v>1695.8378379999999</v>
      </c>
      <c r="L636" s="1" t="s">
        <v>167</v>
      </c>
    </row>
    <row r="637" spans="1:12" x14ac:dyDescent="0.25">
      <c r="A637" t="s">
        <v>150</v>
      </c>
      <c r="B637" t="s">
        <v>181</v>
      </c>
      <c r="C637" t="s">
        <v>45</v>
      </c>
      <c r="D637" t="s">
        <v>91</v>
      </c>
      <c r="E637" t="s">
        <v>9</v>
      </c>
      <c r="F637" t="s">
        <v>6</v>
      </c>
      <c r="G637">
        <v>194776</v>
      </c>
      <c r="H637">
        <v>36</v>
      </c>
      <c r="I637" t="s">
        <v>79</v>
      </c>
      <c r="J637" s="9">
        <v>42454</v>
      </c>
      <c r="K637" s="1">
        <v>5410.4444439999997</v>
      </c>
      <c r="L637" s="1" t="s">
        <v>165</v>
      </c>
    </row>
    <row r="638" spans="1:12" x14ac:dyDescent="0.25">
      <c r="A638" t="s">
        <v>157</v>
      </c>
      <c r="B638" t="s">
        <v>181</v>
      </c>
      <c r="C638" t="s">
        <v>4</v>
      </c>
      <c r="D638" t="s">
        <v>163</v>
      </c>
      <c r="E638" t="s">
        <v>5</v>
      </c>
      <c r="F638" t="s">
        <v>6</v>
      </c>
      <c r="G638">
        <v>241332</v>
      </c>
      <c r="H638">
        <v>21</v>
      </c>
      <c r="I638" t="s">
        <v>82</v>
      </c>
      <c r="J638" s="9">
        <v>42460</v>
      </c>
      <c r="K638" s="1">
        <v>11492</v>
      </c>
      <c r="L638" s="1" t="s">
        <v>166</v>
      </c>
    </row>
    <row r="639" spans="1:12" x14ac:dyDescent="0.25">
      <c r="A639" t="s">
        <v>157</v>
      </c>
      <c r="B639" t="s">
        <v>181</v>
      </c>
      <c r="C639" t="s">
        <v>115</v>
      </c>
      <c r="D639" t="s">
        <v>91</v>
      </c>
      <c r="E639" t="s">
        <v>9</v>
      </c>
      <c r="F639" t="s">
        <v>7</v>
      </c>
      <c r="G639">
        <v>173389</v>
      </c>
      <c r="H639">
        <v>19</v>
      </c>
      <c r="I639" t="s">
        <v>79</v>
      </c>
      <c r="J639" s="9">
        <v>42430</v>
      </c>
      <c r="K639" s="1">
        <v>9125.7368420000003</v>
      </c>
      <c r="L639" s="1" t="s">
        <v>165</v>
      </c>
    </row>
    <row r="640" spans="1:12" x14ac:dyDescent="0.25">
      <c r="A640" t="s">
        <v>157</v>
      </c>
      <c r="B640" t="s">
        <v>181</v>
      </c>
      <c r="C640" t="s">
        <v>115</v>
      </c>
      <c r="D640" t="s">
        <v>161</v>
      </c>
      <c r="E640" t="s">
        <v>9</v>
      </c>
      <c r="F640" t="s">
        <v>7</v>
      </c>
      <c r="G640">
        <v>166055</v>
      </c>
      <c r="H640">
        <v>40</v>
      </c>
      <c r="I640" t="s">
        <v>79</v>
      </c>
      <c r="J640" s="9">
        <v>42430</v>
      </c>
      <c r="K640" s="1">
        <v>4151.375</v>
      </c>
      <c r="L640" s="1" t="s">
        <v>165</v>
      </c>
    </row>
    <row r="641" spans="1:12" x14ac:dyDescent="0.25">
      <c r="A641" t="s">
        <v>157</v>
      </c>
      <c r="B641" t="s">
        <v>181</v>
      </c>
      <c r="C641" t="s">
        <v>55</v>
      </c>
      <c r="D641" t="s">
        <v>162</v>
      </c>
      <c r="E641" t="s">
        <v>5</v>
      </c>
      <c r="F641" t="s">
        <v>6</v>
      </c>
      <c r="G641">
        <v>220860</v>
      </c>
      <c r="H641">
        <v>34</v>
      </c>
      <c r="I641" t="s">
        <v>93</v>
      </c>
      <c r="J641" s="9">
        <v>42452</v>
      </c>
      <c r="K641" s="1">
        <v>6495.882353</v>
      </c>
      <c r="L641" s="1" t="s">
        <v>166</v>
      </c>
    </row>
    <row r="642" spans="1:12" x14ac:dyDescent="0.25">
      <c r="A642" t="s">
        <v>157</v>
      </c>
      <c r="B642" t="s">
        <v>181</v>
      </c>
      <c r="C642" t="s">
        <v>128</v>
      </c>
      <c r="D642" t="s">
        <v>91</v>
      </c>
      <c r="E642" t="s">
        <v>9</v>
      </c>
      <c r="F642" t="s">
        <v>6</v>
      </c>
      <c r="G642">
        <v>96982</v>
      </c>
      <c r="H642">
        <v>38</v>
      </c>
      <c r="I642" t="s">
        <v>81</v>
      </c>
      <c r="J642" s="9">
        <v>42430</v>
      </c>
      <c r="K642" s="1">
        <v>2552.1578949999998</v>
      </c>
      <c r="L642" s="1" t="s">
        <v>167</v>
      </c>
    </row>
    <row r="643" spans="1:12" x14ac:dyDescent="0.25">
      <c r="A643" t="s">
        <v>157</v>
      </c>
      <c r="B643" t="s">
        <v>181</v>
      </c>
      <c r="C643" t="s">
        <v>115</v>
      </c>
      <c r="D643" t="s">
        <v>91</v>
      </c>
      <c r="E643" t="s">
        <v>9</v>
      </c>
      <c r="F643" t="s">
        <v>7</v>
      </c>
      <c r="G643">
        <v>94899</v>
      </c>
      <c r="H643">
        <v>26</v>
      </c>
      <c r="I643" t="s">
        <v>81</v>
      </c>
      <c r="J643" s="9">
        <v>42430</v>
      </c>
      <c r="K643" s="1">
        <v>3649.961538</v>
      </c>
      <c r="L643" s="1" t="s">
        <v>167</v>
      </c>
    </row>
    <row r="644" spans="1:12" x14ac:dyDescent="0.25">
      <c r="A644" t="s">
        <v>157</v>
      </c>
      <c r="B644" t="s">
        <v>181</v>
      </c>
      <c r="C644" t="s">
        <v>147</v>
      </c>
      <c r="D644" t="s">
        <v>91</v>
      </c>
      <c r="E644" t="s">
        <v>9</v>
      </c>
      <c r="F644" t="s">
        <v>12</v>
      </c>
      <c r="G644">
        <v>238589</v>
      </c>
      <c r="H644">
        <v>24</v>
      </c>
      <c r="I644" t="s">
        <v>79</v>
      </c>
      <c r="J644" s="9">
        <v>42430</v>
      </c>
      <c r="K644" s="1">
        <v>9941.2083330000005</v>
      </c>
      <c r="L644" s="1" t="s">
        <v>166</v>
      </c>
    </row>
    <row r="645" spans="1:12" x14ac:dyDescent="0.25">
      <c r="A645" t="s">
        <v>157</v>
      </c>
      <c r="B645" t="s">
        <v>181</v>
      </c>
      <c r="C645" t="s">
        <v>115</v>
      </c>
      <c r="D645" t="s">
        <v>161</v>
      </c>
      <c r="E645" t="s">
        <v>9</v>
      </c>
      <c r="F645" t="s">
        <v>7</v>
      </c>
      <c r="G645">
        <v>212535</v>
      </c>
      <c r="H645">
        <v>23</v>
      </c>
      <c r="I645" t="s">
        <v>79</v>
      </c>
      <c r="J645" s="9">
        <v>42430</v>
      </c>
      <c r="K645" s="1">
        <v>9240.6521740000007</v>
      </c>
      <c r="L645" s="1" t="s">
        <v>166</v>
      </c>
    </row>
    <row r="646" spans="1:12" x14ac:dyDescent="0.25">
      <c r="A646" t="s">
        <v>157</v>
      </c>
      <c r="B646" t="s">
        <v>181</v>
      </c>
      <c r="C646" t="s">
        <v>15</v>
      </c>
      <c r="D646" t="s">
        <v>162</v>
      </c>
      <c r="E646" t="s">
        <v>5</v>
      </c>
      <c r="F646" t="s">
        <v>10</v>
      </c>
      <c r="G646">
        <v>194809</v>
      </c>
      <c r="H646">
        <v>34</v>
      </c>
      <c r="I646" t="s">
        <v>180</v>
      </c>
      <c r="J646" s="9">
        <v>42447</v>
      </c>
      <c r="K646" s="1">
        <v>5729.6764709999998</v>
      </c>
      <c r="L646" s="1" t="s">
        <v>165</v>
      </c>
    </row>
    <row r="647" spans="1:12" x14ac:dyDescent="0.25">
      <c r="A647" t="s">
        <v>157</v>
      </c>
      <c r="B647" t="s">
        <v>181</v>
      </c>
      <c r="C647" t="s">
        <v>15</v>
      </c>
      <c r="D647" t="s">
        <v>162</v>
      </c>
      <c r="E647" t="s">
        <v>5</v>
      </c>
      <c r="F647" t="s">
        <v>10</v>
      </c>
      <c r="G647">
        <v>116025</v>
      </c>
      <c r="H647">
        <v>24</v>
      </c>
      <c r="I647" t="s">
        <v>81</v>
      </c>
      <c r="J647" s="9">
        <v>42447</v>
      </c>
      <c r="K647" s="1">
        <v>4834.375</v>
      </c>
      <c r="L647" s="1" t="s">
        <v>165</v>
      </c>
    </row>
    <row r="648" spans="1:12" x14ac:dyDescent="0.25">
      <c r="A648" t="s">
        <v>151</v>
      </c>
      <c r="B648" t="s">
        <v>181</v>
      </c>
      <c r="C648" t="s">
        <v>115</v>
      </c>
      <c r="D648" t="s">
        <v>161</v>
      </c>
      <c r="E648" t="s">
        <v>9</v>
      </c>
      <c r="F648" t="s">
        <v>7</v>
      </c>
      <c r="G648">
        <v>68283</v>
      </c>
      <c r="H648">
        <v>29</v>
      </c>
      <c r="I648" t="s">
        <v>79</v>
      </c>
      <c r="J648" s="9">
        <v>42430</v>
      </c>
      <c r="K648" s="1">
        <v>2354.5862069999998</v>
      </c>
      <c r="L648" s="1" t="s">
        <v>167</v>
      </c>
    </row>
    <row r="649" spans="1:12" x14ac:dyDescent="0.25">
      <c r="A649" t="s">
        <v>151</v>
      </c>
      <c r="B649" t="s">
        <v>181</v>
      </c>
      <c r="C649" t="s">
        <v>128</v>
      </c>
      <c r="D649" t="s">
        <v>91</v>
      </c>
      <c r="E649" t="s">
        <v>9</v>
      </c>
      <c r="F649" t="s">
        <v>6</v>
      </c>
      <c r="G649">
        <v>93983</v>
      </c>
      <c r="H649">
        <v>29</v>
      </c>
      <c r="I649" t="s">
        <v>180</v>
      </c>
      <c r="J649" s="9">
        <v>42430</v>
      </c>
      <c r="K649" s="1">
        <v>3240.793103</v>
      </c>
      <c r="L649" s="1" t="s">
        <v>167</v>
      </c>
    </row>
    <row r="650" spans="1:12" x14ac:dyDescent="0.25">
      <c r="A650" t="s">
        <v>151</v>
      </c>
      <c r="B650" t="s">
        <v>181</v>
      </c>
      <c r="C650" t="s">
        <v>128</v>
      </c>
      <c r="D650" t="s">
        <v>91</v>
      </c>
      <c r="E650" t="s">
        <v>9</v>
      </c>
      <c r="F650" t="s">
        <v>6</v>
      </c>
      <c r="G650">
        <v>203876</v>
      </c>
      <c r="H650">
        <v>34</v>
      </c>
      <c r="I650" t="s">
        <v>79</v>
      </c>
      <c r="J650" s="9">
        <v>42430</v>
      </c>
      <c r="K650" s="1">
        <v>5996.3529410000001</v>
      </c>
      <c r="L650" s="1" t="s">
        <v>166</v>
      </c>
    </row>
    <row r="651" spans="1:12" x14ac:dyDescent="0.25">
      <c r="A651" t="s">
        <v>151</v>
      </c>
      <c r="B651" t="s">
        <v>181</v>
      </c>
      <c r="C651" t="s">
        <v>115</v>
      </c>
      <c r="D651" t="s">
        <v>161</v>
      </c>
      <c r="E651" t="s">
        <v>9</v>
      </c>
      <c r="F651" t="s">
        <v>7</v>
      </c>
      <c r="G651">
        <v>247015</v>
      </c>
      <c r="H651">
        <v>26</v>
      </c>
      <c r="I651" t="s">
        <v>79</v>
      </c>
      <c r="J651" s="9">
        <v>42430</v>
      </c>
      <c r="K651" s="1">
        <v>9500.5769230000005</v>
      </c>
      <c r="L651" s="1" t="s">
        <v>166</v>
      </c>
    </row>
    <row r="652" spans="1:12" x14ac:dyDescent="0.25">
      <c r="A652" t="s">
        <v>151</v>
      </c>
      <c r="B652" t="s">
        <v>181</v>
      </c>
      <c r="C652" t="s">
        <v>115</v>
      </c>
      <c r="D652" t="s">
        <v>91</v>
      </c>
      <c r="E652" t="s">
        <v>9</v>
      </c>
      <c r="F652" t="s">
        <v>7</v>
      </c>
      <c r="G652">
        <v>199925</v>
      </c>
      <c r="H652">
        <v>42</v>
      </c>
      <c r="I652" t="s">
        <v>79</v>
      </c>
      <c r="J652" s="9">
        <v>42430</v>
      </c>
      <c r="K652" s="1">
        <v>4760.1190479999996</v>
      </c>
      <c r="L652" s="1" t="s">
        <v>165</v>
      </c>
    </row>
    <row r="653" spans="1:12" x14ac:dyDescent="0.25">
      <c r="A653" t="s">
        <v>151</v>
      </c>
      <c r="B653" t="s">
        <v>181</v>
      </c>
      <c r="C653" t="s">
        <v>128</v>
      </c>
      <c r="D653" t="s">
        <v>91</v>
      </c>
      <c r="E653" t="s">
        <v>9</v>
      </c>
      <c r="F653" t="s">
        <v>6</v>
      </c>
      <c r="G653">
        <v>75539</v>
      </c>
      <c r="H653">
        <v>27</v>
      </c>
      <c r="I653" t="s">
        <v>79</v>
      </c>
      <c r="J653" s="9">
        <v>42430</v>
      </c>
      <c r="K653" s="1">
        <v>2797.7407410000001</v>
      </c>
      <c r="L653" s="1" t="s">
        <v>167</v>
      </c>
    </row>
    <row r="654" spans="1:12" x14ac:dyDescent="0.25">
      <c r="A654" t="s">
        <v>151</v>
      </c>
      <c r="B654" t="s">
        <v>181</v>
      </c>
      <c r="C654" t="s">
        <v>191</v>
      </c>
      <c r="D654" t="s">
        <v>162</v>
      </c>
      <c r="E654" t="s">
        <v>5</v>
      </c>
      <c r="F654" t="s">
        <v>6</v>
      </c>
      <c r="G654">
        <v>172613</v>
      </c>
      <c r="H654">
        <v>32</v>
      </c>
      <c r="I654" t="s">
        <v>82</v>
      </c>
      <c r="J654" s="9">
        <v>42454</v>
      </c>
      <c r="K654" s="1">
        <v>5394.15625</v>
      </c>
      <c r="L654" s="1" t="s">
        <v>165</v>
      </c>
    </row>
    <row r="655" spans="1:12" x14ac:dyDescent="0.25">
      <c r="A655" t="s">
        <v>151</v>
      </c>
      <c r="B655" t="s">
        <v>181</v>
      </c>
      <c r="C655" t="s">
        <v>115</v>
      </c>
      <c r="D655" t="s">
        <v>161</v>
      </c>
      <c r="E655" t="s">
        <v>9</v>
      </c>
      <c r="F655" t="s">
        <v>7</v>
      </c>
      <c r="G655">
        <v>135082</v>
      </c>
      <c r="H655">
        <v>26</v>
      </c>
      <c r="I655" t="s">
        <v>79</v>
      </c>
      <c r="J655" s="9">
        <v>42430</v>
      </c>
      <c r="K655" s="1">
        <v>5195.4615379999996</v>
      </c>
      <c r="L655" s="1" t="s">
        <v>165</v>
      </c>
    </row>
    <row r="656" spans="1:12" x14ac:dyDescent="0.25">
      <c r="A656" t="s">
        <v>151</v>
      </c>
      <c r="B656" t="s">
        <v>181</v>
      </c>
      <c r="C656" t="s">
        <v>115</v>
      </c>
      <c r="D656" t="s">
        <v>161</v>
      </c>
      <c r="E656" t="s">
        <v>9</v>
      </c>
      <c r="F656" t="s">
        <v>7</v>
      </c>
      <c r="G656">
        <v>225533</v>
      </c>
      <c r="H656">
        <v>34</v>
      </c>
      <c r="I656" t="s">
        <v>180</v>
      </c>
      <c r="J656" s="9">
        <v>42430</v>
      </c>
      <c r="K656" s="1">
        <v>6633.3235290000002</v>
      </c>
      <c r="L656" s="1" t="s">
        <v>166</v>
      </c>
    </row>
    <row r="657" spans="1:12" x14ac:dyDescent="0.25">
      <c r="A657" t="s">
        <v>151</v>
      </c>
      <c r="B657" t="s">
        <v>181</v>
      </c>
      <c r="C657" t="s">
        <v>128</v>
      </c>
      <c r="D657" t="s">
        <v>91</v>
      </c>
      <c r="E657" t="s">
        <v>9</v>
      </c>
      <c r="F657" t="s">
        <v>6</v>
      </c>
      <c r="G657">
        <v>143814</v>
      </c>
      <c r="H657">
        <v>22</v>
      </c>
      <c r="I657" t="s">
        <v>82</v>
      </c>
      <c r="J657" s="9">
        <v>42430</v>
      </c>
      <c r="K657" s="1">
        <v>6537</v>
      </c>
      <c r="L657" s="1" t="s">
        <v>165</v>
      </c>
    </row>
    <row r="658" spans="1:12" x14ac:dyDescent="0.25">
      <c r="A658" t="s">
        <v>151</v>
      </c>
      <c r="B658" t="s">
        <v>181</v>
      </c>
      <c r="C658" t="s">
        <v>24</v>
      </c>
      <c r="D658" t="s">
        <v>162</v>
      </c>
      <c r="E658" t="s">
        <v>5</v>
      </c>
      <c r="F658" t="s">
        <v>6</v>
      </c>
      <c r="G658">
        <v>234590</v>
      </c>
      <c r="H658">
        <v>35</v>
      </c>
      <c r="I658" t="s">
        <v>180</v>
      </c>
      <c r="J658" s="9">
        <v>42460</v>
      </c>
      <c r="K658" s="1">
        <v>6702.5714289999996</v>
      </c>
      <c r="L658" s="1" t="s">
        <v>166</v>
      </c>
    </row>
    <row r="659" spans="1:12" x14ac:dyDescent="0.25">
      <c r="A659" t="s">
        <v>151</v>
      </c>
      <c r="B659" t="s">
        <v>181</v>
      </c>
      <c r="C659" t="s">
        <v>115</v>
      </c>
      <c r="D659" t="s">
        <v>161</v>
      </c>
      <c r="E659" t="s">
        <v>9</v>
      </c>
      <c r="F659" t="s">
        <v>7</v>
      </c>
      <c r="G659">
        <v>214800</v>
      </c>
      <c r="H659">
        <v>41</v>
      </c>
      <c r="I659" t="s">
        <v>180</v>
      </c>
      <c r="J659" s="9">
        <v>42430</v>
      </c>
      <c r="K659" s="1">
        <v>5239.0243899999996</v>
      </c>
      <c r="L659" s="1" t="s">
        <v>166</v>
      </c>
    </row>
    <row r="660" spans="1:12" x14ac:dyDescent="0.25">
      <c r="A660" t="s">
        <v>151</v>
      </c>
      <c r="B660" t="s">
        <v>181</v>
      </c>
      <c r="C660" t="s">
        <v>147</v>
      </c>
      <c r="D660" t="s">
        <v>91</v>
      </c>
      <c r="E660" t="s">
        <v>9</v>
      </c>
      <c r="F660" t="s">
        <v>12</v>
      </c>
      <c r="G660">
        <v>219704</v>
      </c>
      <c r="H660">
        <v>35</v>
      </c>
      <c r="I660" t="s">
        <v>180</v>
      </c>
      <c r="J660" s="9">
        <v>42430</v>
      </c>
      <c r="K660" s="1">
        <v>6277.2571429999998</v>
      </c>
      <c r="L660" s="1" t="s">
        <v>166</v>
      </c>
    </row>
    <row r="661" spans="1:12" x14ac:dyDescent="0.25">
      <c r="A661" t="s">
        <v>151</v>
      </c>
      <c r="B661" t="s">
        <v>181</v>
      </c>
      <c r="C661" t="s">
        <v>128</v>
      </c>
      <c r="D661" t="s">
        <v>91</v>
      </c>
      <c r="E661" t="s">
        <v>9</v>
      </c>
      <c r="F661" t="s">
        <v>6</v>
      </c>
      <c r="G661">
        <v>158223</v>
      </c>
      <c r="H661">
        <v>38</v>
      </c>
      <c r="I661" t="s">
        <v>79</v>
      </c>
      <c r="J661" s="9">
        <v>42430</v>
      </c>
      <c r="K661" s="1">
        <v>4163.7631579999997</v>
      </c>
      <c r="L661" s="1" t="s">
        <v>165</v>
      </c>
    </row>
    <row r="662" spans="1:12" x14ac:dyDescent="0.25">
      <c r="A662" t="s">
        <v>151</v>
      </c>
      <c r="B662" t="s">
        <v>181</v>
      </c>
      <c r="C662" t="s">
        <v>115</v>
      </c>
      <c r="D662" t="s">
        <v>161</v>
      </c>
      <c r="E662" t="s">
        <v>9</v>
      </c>
      <c r="F662" t="s">
        <v>7</v>
      </c>
      <c r="G662">
        <v>114069</v>
      </c>
      <c r="H662">
        <v>15</v>
      </c>
      <c r="I662" t="s">
        <v>82</v>
      </c>
      <c r="J662" s="9">
        <v>42430</v>
      </c>
      <c r="K662" s="1">
        <v>7604.6</v>
      </c>
      <c r="L662" s="1" t="s">
        <v>165</v>
      </c>
    </row>
    <row r="663" spans="1:12" x14ac:dyDescent="0.25">
      <c r="A663" t="s">
        <v>152</v>
      </c>
      <c r="B663" t="s">
        <v>181</v>
      </c>
      <c r="C663" t="s">
        <v>128</v>
      </c>
      <c r="D663" t="s">
        <v>91</v>
      </c>
      <c r="E663" t="s">
        <v>9</v>
      </c>
      <c r="F663" t="s">
        <v>6</v>
      </c>
      <c r="G663">
        <v>174569</v>
      </c>
      <c r="H663">
        <v>29</v>
      </c>
      <c r="I663" t="s">
        <v>79</v>
      </c>
      <c r="J663" s="9">
        <v>42430</v>
      </c>
      <c r="K663" s="1">
        <v>6019.6206899999997</v>
      </c>
      <c r="L663" s="1" t="s">
        <v>165</v>
      </c>
    </row>
    <row r="664" spans="1:12" x14ac:dyDescent="0.25">
      <c r="A664" t="s">
        <v>152</v>
      </c>
      <c r="B664" t="s">
        <v>181</v>
      </c>
      <c r="C664" t="s">
        <v>23</v>
      </c>
      <c r="D664" t="s">
        <v>162</v>
      </c>
      <c r="E664" t="s">
        <v>5</v>
      </c>
      <c r="F664" t="s">
        <v>6</v>
      </c>
      <c r="G664">
        <v>87539</v>
      </c>
      <c r="H664">
        <v>25</v>
      </c>
      <c r="I664" t="s">
        <v>82</v>
      </c>
      <c r="J664" s="9">
        <v>42460</v>
      </c>
      <c r="K664" s="1">
        <v>3501.56</v>
      </c>
      <c r="L664" s="1" t="s">
        <v>167</v>
      </c>
    </row>
    <row r="665" spans="1:12" x14ac:dyDescent="0.25">
      <c r="A665" t="s">
        <v>152</v>
      </c>
      <c r="B665" t="s">
        <v>181</v>
      </c>
      <c r="C665" t="s">
        <v>115</v>
      </c>
      <c r="D665" t="s">
        <v>161</v>
      </c>
      <c r="E665" t="s">
        <v>9</v>
      </c>
      <c r="F665" t="s">
        <v>7</v>
      </c>
      <c r="G665">
        <v>75445</v>
      </c>
      <c r="H665">
        <v>18</v>
      </c>
      <c r="I665" t="s">
        <v>81</v>
      </c>
      <c r="J665" s="9">
        <v>42430</v>
      </c>
      <c r="K665" s="1">
        <v>4191.3888889999998</v>
      </c>
      <c r="L665" s="1" t="s">
        <v>167</v>
      </c>
    </row>
    <row r="666" spans="1:12" x14ac:dyDescent="0.25">
      <c r="A666" t="s">
        <v>152</v>
      </c>
      <c r="B666" t="s">
        <v>181</v>
      </c>
      <c r="C666" t="s">
        <v>15</v>
      </c>
      <c r="D666" t="s">
        <v>162</v>
      </c>
      <c r="E666" t="s">
        <v>5</v>
      </c>
      <c r="F666" t="s">
        <v>10</v>
      </c>
      <c r="G666">
        <v>56649</v>
      </c>
      <c r="H666">
        <v>21</v>
      </c>
      <c r="I666" t="s">
        <v>79</v>
      </c>
      <c r="J666" s="9">
        <v>42447</v>
      </c>
      <c r="K666" s="1">
        <v>2697.5714290000001</v>
      </c>
      <c r="L666" s="1" t="s">
        <v>167</v>
      </c>
    </row>
    <row r="667" spans="1:12" x14ac:dyDescent="0.25">
      <c r="A667" t="s">
        <v>152</v>
      </c>
      <c r="B667" t="s">
        <v>181</v>
      </c>
      <c r="C667" t="s">
        <v>44</v>
      </c>
      <c r="D667" t="s">
        <v>161</v>
      </c>
      <c r="E667" t="s">
        <v>9</v>
      </c>
      <c r="F667" t="s">
        <v>6</v>
      </c>
      <c r="G667">
        <v>221062</v>
      </c>
      <c r="H667">
        <v>32</v>
      </c>
      <c r="I667" t="s">
        <v>81</v>
      </c>
      <c r="J667" s="9">
        <v>42437</v>
      </c>
      <c r="K667" s="1">
        <v>6908.1875</v>
      </c>
      <c r="L667" s="1" t="s">
        <v>166</v>
      </c>
    </row>
    <row r="668" spans="1:12" x14ac:dyDescent="0.25">
      <c r="A668" t="s">
        <v>152</v>
      </c>
      <c r="B668" t="s">
        <v>181</v>
      </c>
      <c r="C668" t="s">
        <v>115</v>
      </c>
      <c r="D668" t="s">
        <v>161</v>
      </c>
      <c r="E668" t="s">
        <v>9</v>
      </c>
      <c r="F668" t="s">
        <v>7</v>
      </c>
      <c r="G668">
        <v>82736</v>
      </c>
      <c r="H668">
        <v>35</v>
      </c>
      <c r="I668" t="s">
        <v>81</v>
      </c>
      <c r="J668" s="9">
        <v>42430</v>
      </c>
      <c r="K668" s="1">
        <v>2363.885714</v>
      </c>
      <c r="L668" s="1" t="s">
        <v>167</v>
      </c>
    </row>
    <row r="669" spans="1:12" x14ac:dyDescent="0.25">
      <c r="A669" t="s">
        <v>152</v>
      </c>
      <c r="B669" t="s">
        <v>181</v>
      </c>
      <c r="C669" t="s">
        <v>115</v>
      </c>
      <c r="D669" t="s">
        <v>91</v>
      </c>
      <c r="E669" t="s">
        <v>9</v>
      </c>
      <c r="F669" t="s">
        <v>7</v>
      </c>
      <c r="G669">
        <v>202292</v>
      </c>
      <c r="H669">
        <v>42</v>
      </c>
      <c r="I669" t="s">
        <v>79</v>
      </c>
      <c r="J669" s="9">
        <v>42430</v>
      </c>
      <c r="K669" s="1">
        <v>4816.4761900000003</v>
      </c>
      <c r="L669" s="1" t="s">
        <v>166</v>
      </c>
    </row>
    <row r="670" spans="1:12" x14ac:dyDescent="0.25">
      <c r="A670" t="s">
        <v>152</v>
      </c>
      <c r="B670" t="s">
        <v>181</v>
      </c>
      <c r="C670" t="s">
        <v>143</v>
      </c>
      <c r="D670" t="s">
        <v>162</v>
      </c>
      <c r="E670" t="s">
        <v>5</v>
      </c>
      <c r="F670" t="s">
        <v>6</v>
      </c>
      <c r="G670">
        <v>58039</v>
      </c>
      <c r="H670">
        <v>40</v>
      </c>
      <c r="I670" t="s">
        <v>93</v>
      </c>
      <c r="J670" s="9">
        <v>42445</v>
      </c>
      <c r="K670" s="1">
        <v>1450.9749999999999</v>
      </c>
      <c r="L670" s="1" t="s">
        <v>167</v>
      </c>
    </row>
    <row r="671" spans="1:12" x14ac:dyDescent="0.25">
      <c r="A671" t="s">
        <v>152</v>
      </c>
      <c r="B671" t="s">
        <v>181</v>
      </c>
      <c r="C671" t="s">
        <v>144</v>
      </c>
      <c r="D671" t="s">
        <v>163</v>
      </c>
      <c r="E671" t="s">
        <v>5</v>
      </c>
      <c r="F671" t="s">
        <v>6</v>
      </c>
      <c r="G671">
        <v>146216</v>
      </c>
      <c r="H671">
        <v>24</v>
      </c>
      <c r="I671" t="s">
        <v>93</v>
      </c>
      <c r="J671" s="9">
        <v>42460</v>
      </c>
      <c r="K671" s="1">
        <v>6092.3333329999996</v>
      </c>
      <c r="L671" s="1" t="s">
        <v>165</v>
      </c>
    </row>
    <row r="672" spans="1:12" x14ac:dyDescent="0.25">
      <c r="A672" t="s">
        <v>153</v>
      </c>
      <c r="B672" t="s">
        <v>181</v>
      </c>
      <c r="C672" t="s">
        <v>44</v>
      </c>
      <c r="D672" t="s">
        <v>161</v>
      </c>
      <c r="E672" t="s">
        <v>9</v>
      </c>
      <c r="F672" t="s">
        <v>6</v>
      </c>
      <c r="G672">
        <v>195024</v>
      </c>
      <c r="H672">
        <v>19</v>
      </c>
      <c r="I672" t="s">
        <v>81</v>
      </c>
      <c r="J672" s="9">
        <v>42437</v>
      </c>
      <c r="K672" s="1">
        <v>10264.421050000001</v>
      </c>
      <c r="L672" s="1" t="s">
        <v>165</v>
      </c>
    </row>
    <row r="673" spans="1:12" x14ac:dyDescent="0.25">
      <c r="A673" t="s">
        <v>153</v>
      </c>
      <c r="B673" t="s">
        <v>181</v>
      </c>
      <c r="C673" t="s">
        <v>128</v>
      </c>
      <c r="D673" t="s">
        <v>91</v>
      </c>
      <c r="E673" t="s">
        <v>9</v>
      </c>
      <c r="F673" t="s">
        <v>6</v>
      </c>
      <c r="G673">
        <v>59374</v>
      </c>
      <c r="H673">
        <v>24</v>
      </c>
      <c r="I673" t="s">
        <v>79</v>
      </c>
      <c r="J673" s="9">
        <v>42430</v>
      </c>
      <c r="K673" s="1">
        <v>2473.916667</v>
      </c>
      <c r="L673" s="1" t="s">
        <v>167</v>
      </c>
    </row>
    <row r="674" spans="1:12" x14ac:dyDescent="0.25">
      <c r="A674" t="s">
        <v>153</v>
      </c>
      <c r="B674" t="s">
        <v>181</v>
      </c>
      <c r="C674" t="s">
        <v>128</v>
      </c>
      <c r="D674" t="s">
        <v>91</v>
      </c>
      <c r="E674" t="s">
        <v>9</v>
      </c>
      <c r="F674" t="s">
        <v>6</v>
      </c>
      <c r="G674">
        <v>243567</v>
      </c>
      <c r="H674">
        <v>20</v>
      </c>
      <c r="I674" t="s">
        <v>81</v>
      </c>
      <c r="J674" s="9">
        <v>42430</v>
      </c>
      <c r="K674" s="1">
        <v>12178.35</v>
      </c>
      <c r="L674" s="1" t="s">
        <v>166</v>
      </c>
    </row>
    <row r="675" spans="1:12" x14ac:dyDescent="0.25">
      <c r="A675" t="s">
        <v>153</v>
      </c>
      <c r="B675" t="s">
        <v>181</v>
      </c>
      <c r="C675" t="s">
        <v>121</v>
      </c>
      <c r="D675" t="s">
        <v>162</v>
      </c>
      <c r="E675" t="s">
        <v>5</v>
      </c>
      <c r="F675" t="s">
        <v>6</v>
      </c>
      <c r="G675">
        <v>178289</v>
      </c>
      <c r="H675">
        <v>30</v>
      </c>
      <c r="I675" t="s">
        <v>93</v>
      </c>
      <c r="J675" s="9">
        <v>42454</v>
      </c>
      <c r="K675" s="1">
        <v>5942.9666669999997</v>
      </c>
      <c r="L675" s="1" t="s">
        <v>165</v>
      </c>
    </row>
    <row r="676" spans="1:12" x14ac:dyDescent="0.25">
      <c r="A676" t="s">
        <v>154</v>
      </c>
      <c r="B676" t="s">
        <v>181</v>
      </c>
      <c r="C676" t="s">
        <v>4</v>
      </c>
      <c r="D676" t="s">
        <v>162</v>
      </c>
      <c r="E676" t="s">
        <v>5</v>
      </c>
      <c r="F676" t="s">
        <v>6</v>
      </c>
      <c r="G676">
        <v>82993</v>
      </c>
      <c r="H676">
        <v>29</v>
      </c>
      <c r="I676" t="s">
        <v>93</v>
      </c>
      <c r="J676" s="9">
        <v>42454</v>
      </c>
      <c r="K676" s="1">
        <v>2861.8275859999999</v>
      </c>
      <c r="L676" s="1" t="s">
        <v>167</v>
      </c>
    </row>
    <row r="677" spans="1:12" x14ac:dyDescent="0.25">
      <c r="A677" t="s">
        <v>154</v>
      </c>
      <c r="B677" t="s">
        <v>181</v>
      </c>
      <c r="C677" t="s">
        <v>115</v>
      </c>
      <c r="D677" t="s">
        <v>161</v>
      </c>
      <c r="E677" t="s">
        <v>9</v>
      </c>
      <c r="F677" t="s">
        <v>7</v>
      </c>
      <c r="G677">
        <v>195651</v>
      </c>
      <c r="H677">
        <v>35</v>
      </c>
      <c r="I677" t="s">
        <v>82</v>
      </c>
      <c r="J677" s="9">
        <v>42430</v>
      </c>
      <c r="K677" s="1">
        <v>5590.0285709999998</v>
      </c>
      <c r="L677" s="1" t="s">
        <v>165</v>
      </c>
    </row>
    <row r="678" spans="1:12" x14ac:dyDescent="0.25">
      <c r="A678" t="s">
        <v>154</v>
      </c>
      <c r="B678" t="s">
        <v>181</v>
      </c>
      <c r="C678" t="s">
        <v>128</v>
      </c>
      <c r="D678" t="s">
        <v>91</v>
      </c>
      <c r="E678" t="s">
        <v>9</v>
      </c>
      <c r="F678" t="s">
        <v>6</v>
      </c>
      <c r="G678">
        <v>89550</v>
      </c>
      <c r="H678">
        <v>29</v>
      </c>
      <c r="I678" t="s">
        <v>79</v>
      </c>
      <c r="J678" s="9">
        <v>42430</v>
      </c>
      <c r="K678" s="1">
        <v>3087.9310340000002</v>
      </c>
      <c r="L678" s="1" t="s">
        <v>167</v>
      </c>
    </row>
    <row r="679" spans="1:12" x14ac:dyDescent="0.25">
      <c r="A679" t="s">
        <v>154</v>
      </c>
      <c r="B679" t="s">
        <v>181</v>
      </c>
      <c r="C679" t="s">
        <v>45</v>
      </c>
      <c r="D679" t="s">
        <v>91</v>
      </c>
      <c r="E679" t="s">
        <v>9</v>
      </c>
      <c r="F679" t="s">
        <v>6</v>
      </c>
      <c r="G679">
        <v>61730</v>
      </c>
      <c r="H679">
        <v>29</v>
      </c>
      <c r="I679" t="s">
        <v>79</v>
      </c>
      <c r="J679" s="9">
        <v>42454</v>
      </c>
      <c r="K679" s="1">
        <v>2128.6206900000002</v>
      </c>
      <c r="L679" s="1" t="s">
        <v>167</v>
      </c>
    </row>
    <row r="680" spans="1:12" x14ac:dyDescent="0.25">
      <c r="A680" t="s">
        <v>154</v>
      </c>
      <c r="B680" t="s">
        <v>181</v>
      </c>
      <c r="C680" t="s">
        <v>133</v>
      </c>
      <c r="D680" t="s">
        <v>163</v>
      </c>
      <c r="E680" t="s">
        <v>5</v>
      </c>
      <c r="F680" t="s">
        <v>6</v>
      </c>
      <c r="G680">
        <v>244178</v>
      </c>
      <c r="H680">
        <v>21</v>
      </c>
      <c r="I680" t="s">
        <v>93</v>
      </c>
      <c r="J680" s="9">
        <v>42460</v>
      </c>
      <c r="K680" s="1">
        <v>11627.523810000001</v>
      </c>
      <c r="L680" s="1" t="s">
        <v>166</v>
      </c>
    </row>
    <row r="681" spans="1:12" x14ac:dyDescent="0.25">
      <c r="A681" t="s">
        <v>154</v>
      </c>
      <c r="B681" t="s">
        <v>181</v>
      </c>
      <c r="C681" t="s">
        <v>115</v>
      </c>
      <c r="D681" t="s">
        <v>91</v>
      </c>
      <c r="E681" t="s">
        <v>9</v>
      </c>
      <c r="F681" t="s">
        <v>7</v>
      </c>
      <c r="G681">
        <v>147047</v>
      </c>
      <c r="H681">
        <v>33</v>
      </c>
      <c r="I681" t="s">
        <v>81</v>
      </c>
      <c r="J681" s="9">
        <v>42430</v>
      </c>
      <c r="K681" s="1">
        <v>4455.9696970000005</v>
      </c>
      <c r="L681" s="1" t="s">
        <v>165</v>
      </c>
    </row>
    <row r="682" spans="1:12" x14ac:dyDescent="0.25">
      <c r="A682" t="s">
        <v>154</v>
      </c>
      <c r="B682" t="s">
        <v>181</v>
      </c>
      <c r="C682" t="s">
        <v>128</v>
      </c>
      <c r="D682" t="s">
        <v>91</v>
      </c>
      <c r="E682" t="s">
        <v>9</v>
      </c>
      <c r="F682" t="s">
        <v>6</v>
      </c>
      <c r="G682">
        <v>180690</v>
      </c>
      <c r="H682">
        <v>32</v>
      </c>
      <c r="I682" t="s">
        <v>180</v>
      </c>
      <c r="J682" s="9">
        <v>42430</v>
      </c>
      <c r="K682" s="1">
        <v>5646.5625</v>
      </c>
      <c r="L682" s="1" t="s">
        <v>165</v>
      </c>
    </row>
    <row r="683" spans="1:12" x14ac:dyDescent="0.25">
      <c r="A683" t="s">
        <v>155</v>
      </c>
      <c r="B683" t="s">
        <v>181</v>
      </c>
      <c r="C683" t="s">
        <v>143</v>
      </c>
      <c r="D683" t="s">
        <v>162</v>
      </c>
      <c r="E683" t="s">
        <v>5</v>
      </c>
      <c r="F683" t="s">
        <v>6</v>
      </c>
      <c r="G683">
        <v>214986</v>
      </c>
      <c r="H683">
        <v>19</v>
      </c>
      <c r="I683" t="s">
        <v>93</v>
      </c>
      <c r="J683" s="9">
        <v>42517</v>
      </c>
      <c r="K683" s="1">
        <v>11315.05263</v>
      </c>
      <c r="L683" s="1" t="s">
        <v>166</v>
      </c>
    </row>
    <row r="684" spans="1:12" x14ac:dyDescent="0.25">
      <c r="A684" t="s">
        <v>156</v>
      </c>
      <c r="B684" t="s">
        <v>181</v>
      </c>
      <c r="C684" t="s">
        <v>21</v>
      </c>
      <c r="D684" t="s">
        <v>87</v>
      </c>
      <c r="E684" t="s">
        <v>9</v>
      </c>
      <c r="F684" t="s">
        <v>6</v>
      </c>
      <c r="G684">
        <v>237694</v>
      </c>
      <c r="H684">
        <v>30</v>
      </c>
      <c r="I684" t="s">
        <v>79</v>
      </c>
      <c r="J684" s="9">
        <v>42491</v>
      </c>
      <c r="K684" s="1">
        <v>7923.1333329999998</v>
      </c>
      <c r="L684" s="1" t="s">
        <v>166</v>
      </c>
    </row>
    <row r="685" spans="1:12" x14ac:dyDescent="0.25">
      <c r="A685" t="s">
        <v>150</v>
      </c>
      <c r="B685" t="s">
        <v>181</v>
      </c>
      <c r="C685" t="s">
        <v>21</v>
      </c>
      <c r="D685" t="s">
        <v>87</v>
      </c>
      <c r="E685" t="s">
        <v>9</v>
      </c>
      <c r="F685" t="s">
        <v>6</v>
      </c>
      <c r="G685">
        <v>135816</v>
      </c>
      <c r="H685">
        <v>18</v>
      </c>
      <c r="I685" t="s">
        <v>180</v>
      </c>
      <c r="J685" s="9">
        <v>42491</v>
      </c>
      <c r="K685" s="1">
        <v>7545.3333329999996</v>
      </c>
      <c r="L685" s="1" t="s">
        <v>165</v>
      </c>
    </row>
    <row r="686" spans="1:12" x14ac:dyDescent="0.25">
      <c r="A686" t="s">
        <v>157</v>
      </c>
      <c r="B686" t="s">
        <v>181</v>
      </c>
      <c r="C686" t="s">
        <v>145</v>
      </c>
      <c r="D686" t="s">
        <v>91</v>
      </c>
      <c r="E686" t="s">
        <v>9</v>
      </c>
      <c r="F686" t="s">
        <v>6</v>
      </c>
      <c r="G686">
        <v>198335</v>
      </c>
      <c r="H686">
        <v>23</v>
      </c>
      <c r="I686" t="s">
        <v>79</v>
      </c>
      <c r="J686" s="9">
        <v>42491</v>
      </c>
      <c r="K686" s="1">
        <v>8623.2608700000001</v>
      </c>
      <c r="L686" s="1" t="s">
        <v>165</v>
      </c>
    </row>
    <row r="687" spans="1:12" x14ac:dyDescent="0.25">
      <c r="A687" t="s">
        <v>157</v>
      </c>
      <c r="B687" t="s">
        <v>181</v>
      </c>
      <c r="C687" t="s">
        <v>145</v>
      </c>
      <c r="D687" t="s">
        <v>91</v>
      </c>
      <c r="E687" t="s">
        <v>9</v>
      </c>
      <c r="F687" t="s">
        <v>6</v>
      </c>
      <c r="G687">
        <v>216752</v>
      </c>
      <c r="H687">
        <v>24</v>
      </c>
      <c r="I687" t="s">
        <v>79</v>
      </c>
      <c r="J687" s="9">
        <v>42491</v>
      </c>
      <c r="K687" s="1">
        <v>9031.3333330000005</v>
      </c>
      <c r="L687" s="1" t="s">
        <v>166</v>
      </c>
    </row>
    <row r="688" spans="1:12" x14ac:dyDescent="0.25">
      <c r="A688" t="s">
        <v>157</v>
      </c>
      <c r="B688" t="s">
        <v>181</v>
      </c>
      <c r="C688" t="s">
        <v>21</v>
      </c>
      <c r="D688" t="s">
        <v>87</v>
      </c>
      <c r="E688" t="s">
        <v>9</v>
      </c>
      <c r="F688" t="s">
        <v>6</v>
      </c>
      <c r="G688">
        <v>225035</v>
      </c>
      <c r="H688">
        <v>21</v>
      </c>
      <c r="I688" t="s">
        <v>81</v>
      </c>
      <c r="J688" s="9">
        <v>42491</v>
      </c>
      <c r="K688" s="1">
        <v>10715.952380000001</v>
      </c>
      <c r="L688" s="1" t="s">
        <v>166</v>
      </c>
    </row>
    <row r="689" spans="1:12" x14ac:dyDescent="0.25">
      <c r="A689" t="s">
        <v>157</v>
      </c>
      <c r="B689" t="s">
        <v>181</v>
      </c>
      <c r="C689" t="s">
        <v>145</v>
      </c>
      <c r="D689" t="s">
        <v>91</v>
      </c>
      <c r="E689" t="s">
        <v>9</v>
      </c>
      <c r="F689" t="s">
        <v>6</v>
      </c>
      <c r="G689">
        <v>60671</v>
      </c>
      <c r="H689">
        <v>22</v>
      </c>
      <c r="I689" t="s">
        <v>82</v>
      </c>
      <c r="J689" s="9">
        <v>42491</v>
      </c>
      <c r="K689" s="1">
        <v>2757.772727</v>
      </c>
      <c r="L689" s="1" t="s">
        <v>167</v>
      </c>
    </row>
    <row r="690" spans="1:12" x14ac:dyDescent="0.25">
      <c r="A690" t="s">
        <v>157</v>
      </c>
      <c r="B690" t="s">
        <v>181</v>
      </c>
      <c r="C690" t="s">
        <v>21</v>
      </c>
      <c r="D690" t="s">
        <v>87</v>
      </c>
      <c r="E690" t="s">
        <v>9</v>
      </c>
      <c r="F690" t="s">
        <v>6</v>
      </c>
      <c r="G690">
        <v>95869</v>
      </c>
      <c r="H690">
        <v>33</v>
      </c>
      <c r="I690" t="s">
        <v>79</v>
      </c>
      <c r="J690" s="9">
        <v>42491</v>
      </c>
      <c r="K690" s="1">
        <v>2905.121212</v>
      </c>
      <c r="L690" s="1" t="s">
        <v>167</v>
      </c>
    </row>
    <row r="691" spans="1:12" x14ac:dyDescent="0.25">
      <c r="A691" t="s">
        <v>157</v>
      </c>
      <c r="B691" t="s">
        <v>181</v>
      </c>
      <c r="C691" t="s">
        <v>196</v>
      </c>
      <c r="D691" t="s">
        <v>162</v>
      </c>
      <c r="E691" t="s">
        <v>5</v>
      </c>
      <c r="F691" t="s">
        <v>6</v>
      </c>
      <c r="G691">
        <v>168365</v>
      </c>
      <c r="H691">
        <v>30</v>
      </c>
      <c r="I691" t="s">
        <v>93</v>
      </c>
      <c r="J691" s="9">
        <v>42514</v>
      </c>
      <c r="K691" s="1">
        <v>5612.1666670000004</v>
      </c>
      <c r="L691" s="1" t="s">
        <v>165</v>
      </c>
    </row>
    <row r="692" spans="1:12" x14ac:dyDescent="0.25">
      <c r="A692" t="s">
        <v>157</v>
      </c>
      <c r="B692" t="s">
        <v>181</v>
      </c>
      <c r="C692" t="s">
        <v>145</v>
      </c>
      <c r="D692" t="s">
        <v>91</v>
      </c>
      <c r="E692" t="s">
        <v>9</v>
      </c>
      <c r="F692" t="s">
        <v>6</v>
      </c>
      <c r="G692">
        <v>148772</v>
      </c>
      <c r="H692">
        <v>19</v>
      </c>
      <c r="I692" t="s">
        <v>79</v>
      </c>
      <c r="J692" s="9">
        <v>42491</v>
      </c>
      <c r="K692" s="1">
        <v>7830.1052630000004</v>
      </c>
      <c r="L692" s="1" t="s">
        <v>165</v>
      </c>
    </row>
    <row r="693" spans="1:12" x14ac:dyDescent="0.25">
      <c r="A693" t="s">
        <v>157</v>
      </c>
      <c r="B693" t="s">
        <v>181</v>
      </c>
      <c r="C693" t="s">
        <v>21</v>
      </c>
      <c r="D693" t="s">
        <v>87</v>
      </c>
      <c r="E693" t="s">
        <v>9</v>
      </c>
      <c r="F693" t="s">
        <v>6</v>
      </c>
      <c r="G693">
        <v>57931</v>
      </c>
      <c r="H693">
        <v>40</v>
      </c>
      <c r="I693" t="s">
        <v>81</v>
      </c>
      <c r="J693" s="9">
        <v>42491</v>
      </c>
      <c r="K693" s="1">
        <v>1448.2750000000001</v>
      </c>
      <c r="L693" s="1" t="s">
        <v>167</v>
      </c>
    </row>
    <row r="694" spans="1:12" x14ac:dyDescent="0.25">
      <c r="A694" t="s">
        <v>151</v>
      </c>
      <c r="B694" t="s">
        <v>181</v>
      </c>
      <c r="C694" t="s">
        <v>145</v>
      </c>
      <c r="D694" t="s">
        <v>91</v>
      </c>
      <c r="E694" t="s">
        <v>9</v>
      </c>
      <c r="F694" t="s">
        <v>6</v>
      </c>
      <c r="G694">
        <v>192702</v>
      </c>
      <c r="H694">
        <v>41</v>
      </c>
      <c r="I694" t="s">
        <v>79</v>
      </c>
      <c r="J694" s="9">
        <v>42491</v>
      </c>
      <c r="K694" s="1">
        <v>4700.0487800000001</v>
      </c>
      <c r="L694" s="1" t="s">
        <v>165</v>
      </c>
    </row>
    <row r="695" spans="1:12" x14ac:dyDescent="0.25">
      <c r="A695" t="s">
        <v>151</v>
      </c>
      <c r="B695" t="s">
        <v>181</v>
      </c>
      <c r="C695" t="s">
        <v>145</v>
      </c>
      <c r="D695" t="s">
        <v>91</v>
      </c>
      <c r="E695" t="s">
        <v>9</v>
      </c>
      <c r="F695" t="s">
        <v>6</v>
      </c>
      <c r="G695">
        <v>127812</v>
      </c>
      <c r="H695">
        <v>29</v>
      </c>
      <c r="I695" t="s">
        <v>81</v>
      </c>
      <c r="J695" s="9">
        <v>42491</v>
      </c>
      <c r="K695" s="1">
        <v>4407.3103449999999</v>
      </c>
      <c r="L695" s="1" t="s">
        <v>165</v>
      </c>
    </row>
    <row r="696" spans="1:12" x14ac:dyDescent="0.25">
      <c r="A696" t="s">
        <v>151</v>
      </c>
      <c r="B696" t="s">
        <v>181</v>
      </c>
      <c r="C696" t="s">
        <v>145</v>
      </c>
      <c r="D696" t="s">
        <v>91</v>
      </c>
      <c r="E696" t="s">
        <v>9</v>
      </c>
      <c r="F696" t="s">
        <v>6</v>
      </c>
      <c r="G696">
        <v>94571</v>
      </c>
      <c r="H696">
        <v>42</v>
      </c>
      <c r="I696" t="s">
        <v>79</v>
      </c>
      <c r="J696" s="9">
        <v>42491</v>
      </c>
      <c r="K696" s="1">
        <v>2251.6904760000002</v>
      </c>
      <c r="L696" s="1" t="s">
        <v>167</v>
      </c>
    </row>
    <row r="697" spans="1:12" x14ac:dyDescent="0.25">
      <c r="A697" t="s">
        <v>151</v>
      </c>
      <c r="B697" t="s">
        <v>181</v>
      </c>
      <c r="C697" t="s">
        <v>145</v>
      </c>
      <c r="D697" t="s">
        <v>91</v>
      </c>
      <c r="E697" t="s">
        <v>9</v>
      </c>
      <c r="F697" t="s">
        <v>6</v>
      </c>
      <c r="G697">
        <v>202782</v>
      </c>
      <c r="H697">
        <v>37</v>
      </c>
      <c r="I697" t="s">
        <v>79</v>
      </c>
      <c r="J697" s="9">
        <v>42491</v>
      </c>
      <c r="K697" s="1">
        <v>5480.5945949999996</v>
      </c>
      <c r="L697" s="1" t="s">
        <v>166</v>
      </c>
    </row>
    <row r="698" spans="1:12" x14ac:dyDescent="0.25">
      <c r="A698" t="s">
        <v>151</v>
      </c>
      <c r="B698" t="s">
        <v>181</v>
      </c>
      <c r="C698" t="s">
        <v>138</v>
      </c>
      <c r="D698" t="s">
        <v>162</v>
      </c>
      <c r="E698" t="s">
        <v>5</v>
      </c>
      <c r="F698" t="s">
        <v>6</v>
      </c>
      <c r="G698">
        <v>148894</v>
      </c>
      <c r="H698">
        <v>34</v>
      </c>
      <c r="I698" t="s">
        <v>93</v>
      </c>
      <c r="J698" s="9">
        <v>42517</v>
      </c>
      <c r="K698" s="1">
        <v>4379.2352940000001</v>
      </c>
      <c r="L698" s="1" t="s">
        <v>165</v>
      </c>
    </row>
    <row r="699" spans="1:12" x14ac:dyDescent="0.25">
      <c r="A699" t="s">
        <v>152</v>
      </c>
      <c r="B699" t="s">
        <v>181</v>
      </c>
      <c r="C699" t="s">
        <v>145</v>
      </c>
      <c r="D699" t="s">
        <v>91</v>
      </c>
      <c r="E699" t="s">
        <v>9</v>
      </c>
      <c r="F699" t="s">
        <v>6</v>
      </c>
      <c r="G699">
        <v>82666</v>
      </c>
      <c r="H699">
        <v>27</v>
      </c>
      <c r="I699" t="s">
        <v>81</v>
      </c>
      <c r="J699" s="9">
        <v>42491</v>
      </c>
      <c r="K699" s="1">
        <v>3061.703704</v>
      </c>
      <c r="L699" s="1" t="s">
        <v>167</v>
      </c>
    </row>
    <row r="700" spans="1:12" x14ac:dyDescent="0.25">
      <c r="A700" t="s">
        <v>152</v>
      </c>
      <c r="B700" t="s">
        <v>181</v>
      </c>
      <c r="C700" t="s">
        <v>21</v>
      </c>
      <c r="D700" t="s">
        <v>87</v>
      </c>
      <c r="E700" t="s">
        <v>9</v>
      </c>
      <c r="F700" t="s">
        <v>6</v>
      </c>
      <c r="G700">
        <v>236895</v>
      </c>
      <c r="H700">
        <v>20</v>
      </c>
      <c r="I700" t="s">
        <v>81</v>
      </c>
      <c r="J700" s="9">
        <v>42491</v>
      </c>
      <c r="K700" s="1">
        <v>11844.75</v>
      </c>
      <c r="L700" s="1" t="s">
        <v>166</v>
      </c>
    </row>
    <row r="701" spans="1:12" x14ac:dyDescent="0.25">
      <c r="A701" t="s">
        <v>152</v>
      </c>
      <c r="B701" t="s">
        <v>181</v>
      </c>
      <c r="C701" t="s">
        <v>143</v>
      </c>
      <c r="D701" t="s">
        <v>162</v>
      </c>
      <c r="E701" t="s">
        <v>5</v>
      </c>
      <c r="F701" t="s">
        <v>6</v>
      </c>
      <c r="G701">
        <v>227528</v>
      </c>
      <c r="H701">
        <v>30</v>
      </c>
      <c r="I701" t="s">
        <v>81</v>
      </c>
      <c r="J701" s="9">
        <v>42521</v>
      </c>
      <c r="K701" s="1">
        <v>7584.2666669999999</v>
      </c>
      <c r="L701" s="1" t="s">
        <v>166</v>
      </c>
    </row>
    <row r="702" spans="1:12" x14ac:dyDescent="0.25">
      <c r="A702" t="s">
        <v>152</v>
      </c>
      <c r="B702" t="s">
        <v>181</v>
      </c>
      <c r="C702" t="s">
        <v>145</v>
      </c>
      <c r="D702" t="s">
        <v>91</v>
      </c>
      <c r="E702" t="s">
        <v>9</v>
      </c>
      <c r="F702" t="s">
        <v>6</v>
      </c>
      <c r="G702">
        <v>236419</v>
      </c>
      <c r="H702">
        <v>23</v>
      </c>
      <c r="I702" t="s">
        <v>81</v>
      </c>
      <c r="J702" s="9">
        <v>42491</v>
      </c>
      <c r="K702" s="1">
        <v>10279.086960000001</v>
      </c>
      <c r="L702" s="1" t="s">
        <v>166</v>
      </c>
    </row>
    <row r="703" spans="1:12" x14ac:dyDescent="0.25">
      <c r="A703" t="s">
        <v>152</v>
      </c>
      <c r="B703" t="s">
        <v>181</v>
      </c>
      <c r="C703" t="s">
        <v>42</v>
      </c>
      <c r="D703" t="s">
        <v>162</v>
      </c>
      <c r="E703" t="s">
        <v>5</v>
      </c>
      <c r="F703" t="s">
        <v>6</v>
      </c>
      <c r="G703">
        <v>167326</v>
      </c>
      <c r="H703">
        <v>37</v>
      </c>
      <c r="I703" t="s">
        <v>93</v>
      </c>
      <c r="J703" s="9">
        <v>42509</v>
      </c>
      <c r="K703" s="1">
        <v>4522.3243240000002</v>
      </c>
      <c r="L703" s="1" t="s">
        <v>165</v>
      </c>
    </row>
    <row r="704" spans="1:12" x14ac:dyDescent="0.25">
      <c r="A704" t="s">
        <v>153</v>
      </c>
      <c r="B704" t="s">
        <v>181</v>
      </c>
      <c r="C704" t="s">
        <v>21</v>
      </c>
      <c r="D704" t="s">
        <v>87</v>
      </c>
      <c r="E704" t="s">
        <v>9</v>
      </c>
      <c r="F704" t="s">
        <v>6</v>
      </c>
      <c r="G704">
        <v>56636</v>
      </c>
      <c r="H704">
        <v>33</v>
      </c>
      <c r="I704" t="s">
        <v>79</v>
      </c>
      <c r="J704" s="9">
        <v>42491</v>
      </c>
      <c r="K704" s="1">
        <v>1716.242424</v>
      </c>
      <c r="L704" s="1" t="s">
        <v>167</v>
      </c>
    </row>
    <row r="705" spans="1:12" x14ac:dyDescent="0.25">
      <c r="A705" t="s">
        <v>153</v>
      </c>
      <c r="B705" t="s">
        <v>181</v>
      </c>
      <c r="C705" t="s">
        <v>135</v>
      </c>
      <c r="D705" t="s">
        <v>162</v>
      </c>
      <c r="E705" t="s">
        <v>5</v>
      </c>
      <c r="F705" t="s">
        <v>6</v>
      </c>
      <c r="G705">
        <v>74466</v>
      </c>
      <c r="H705">
        <v>21</v>
      </c>
      <c r="I705" t="s">
        <v>93</v>
      </c>
      <c r="J705" s="9">
        <v>42517</v>
      </c>
      <c r="K705" s="1">
        <v>3546</v>
      </c>
      <c r="L705" s="1" t="s">
        <v>167</v>
      </c>
    </row>
    <row r="706" spans="1:12" x14ac:dyDescent="0.25">
      <c r="A706" t="s">
        <v>154</v>
      </c>
      <c r="B706" t="s">
        <v>181</v>
      </c>
      <c r="C706" t="s">
        <v>145</v>
      </c>
      <c r="D706" t="s">
        <v>91</v>
      </c>
      <c r="E706" t="s">
        <v>9</v>
      </c>
      <c r="F706" t="s">
        <v>6</v>
      </c>
      <c r="G706">
        <v>139098</v>
      </c>
      <c r="H706">
        <v>35</v>
      </c>
      <c r="I706" t="s">
        <v>81</v>
      </c>
      <c r="J706" s="9">
        <v>42491</v>
      </c>
      <c r="K706" s="1">
        <v>3974.2285710000001</v>
      </c>
      <c r="L706" s="1" t="s">
        <v>165</v>
      </c>
    </row>
    <row r="707" spans="1:12" x14ac:dyDescent="0.25">
      <c r="A707" t="s">
        <v>154</v>
      </c>
      <c r="B707" t="s">
        <v>181</v>
      </c>
      <c r="C707" t="s">
        <v>143</v>
      </c>
      <c r="D707" t="s">
        <v>162</v>
      </c>
      <c r="E707" t="s">
        <v>5</v>
      </c>
      <c r="F707" t="s">
        <v>6</v>
      </c>
      <c r="G707">
        <v>178143</v>
      </c>
      <c r="H707">
        <v>37</v>
      </c>
      <c r="I707" t="s">
        <v>81</v>
      </c>
      <c r="J707" s="9">
        <v>42521</v>
      </c>
      <c r="K707" s="1">
        <v>4814.6756759999998</v>
      </c>
      <c r="L707" s="1" t="s">
        <v>165</v>
      </c>
    </row>
    <row r="708" spans="1:12" x14ac:dyDescent="0.25">
      <c r="A708" t="s">
        <v>154</v>
      </c>
      <c r="B708" t="s">
        <v>181</v>
      </c>
      <c r="C708" t="s">
        <v>42</v>
      </c>
      <c r="D708" t="s">
        <v>162</v>
      </c>
      <c r="E708" t="s">
        <v>5</v>
      </c>
      <c r="F708" t="s">
        <v>6</v>
      </c>
      <c r="G708">
        <v>167348</v>
      </c>
      <c r="H708">
        <v>39</v>
      </c>
      <c r="I708" t="s">
        <v>93</v>
      </c>
      <c r="J708" s="9">
        <v>42517</v>
      </c>
      <c r="K708" s="1">
        <v>4290.9743589999998</v>
      </c>
      <c r="L708" s="1" t="s">
        <v>165</v>
      </c>
    </row>
    <row r="709" spans="1:12" x14ac:dyDescent="0.25">
      <c r="A709" t="s">
        <v>155</v>
      </c>
      <c r="B709" t="s">
        <v>181</v>
      </c>
      <c r="C709" t="s">
        <v>15</v>
      </c>
      <c r="D709" t="s">
        <v>162</v>
      </c>
      <c r="E709" t="s">
        <v>5</v>
      </c>
      <c r="F709" t="s">
        <v>10</v>
      </c>
      <c r="G709">
        <v>129917</v>
      </c>
      <c r="H709">
        <v>33</v>
      </c>
      <c r="I709" t="s">
        <v>81</v>
      </c>
      <c r="J709" s="9">
        <v>42335</v>
      </c>
      <c r="K709" s="1">
        <v>3936.878788</v>
      </c>
      <c r="L709" s="1" t="s">
        <v>165</v>
      </c>
    </row>
    <row r="710" spans="1:12" x14ac:dyDescent="0.25">
      <c r="A710" t="s">
        <v>155</v>
      </c>
      <c r="B710" t="s">
        <v>181</v>
      </c>
      <c r="C710" t="s">
        <v>135</v>
      </c>
      <c r="D710" t="s">
        <v>87</v>
      </c>
      <c r="E710" t="s">
        <v>9</v>
      </c>
      <c r="F710" t="s">
        <v>6</v>
      </c>
      <c r="G710">
        <v>180074</v>
      </c>
      <c r="H710">
        <v>37</v>
      </c>
      <c r="I710" t="s">
        <v>180</v>
      </c>
      <c r="J710" s="9">
        <v>42338</v>
      </c>
      <c r="K710" s="1">
        <v>4866.8648649999996</v>
      </c>
      <c r="L710" s="1" t="s">
        <v>165</v>
      </c>
    </row>
    <row r="711" spans="1:12" x14ac:dyDescent="0.25">
      <c r="A711" t="s">
        <v>150</v>
      </c>
      <c r="B711" t="s">
        <v>181</v>
      </c>
      <c r="C711" t="s">
        <v>131</v>
      </c>
      <c r="D711" t="s">
        <v>86</v>
      </c>
      <c r="E711" t="s">
        <v>9</v>
      </c>
      <c r="F711" t="s">
        <v>7</v>
      </c>
      <c r="G711">
        <v>235799</v>
      </c>
      <c r="H711">
        <v>23</v>
      </c>
      <c r="I711" t="s">
        <v>81</v>
      </c>
      <c r="J711" s="9">
        <v>42309</v>
      </c>
      <c r="K711" s="1">
        <v>10252.130429999999</v>
      </c>
      <c r="L711" s="1" t="s">
        <v>166</v>
      </c>
    </row>
    <row r="712" spans="1:12" x14ac:dyDescent="0.25">
      <c r="A712" t="s">
        <v>150</v>
      </c>
      <c r="B712" t="s">
        <v>181</v>
      </c>
      <c r="C712" t="s">
        <v>117</v>
      </c>
      <c r="D712" t="s">
        <v>86</v>
      </c>
      <c r="E712" t="s">
        <v>5</v>
      </c>
      <c r="F712" t="s">
        <v>6</v>
      </c>
      <c r="G712">
        <v>127126</v>
      </c>
      <c r="H712">
        <v>23</v>
      </c>
      <c r="I712" t="s">
        <v>79</v>
      </c>
      <c r="J712" s="9">
        <v>42309</v>
      </c>
      <c r="K712" s="1">
        <v>5527.2173910000001</v>
      </c>
      <c r="L712" s="1" t="s">
        <v>165</v>
      </c>
    </row>
    <row r="713" spans="1:12" x14ac:dyDescent="0.25">
      <c r="A713" t="s">
        <v>157</v>
      </c>
      <c r="B713" t="s">
        <v>181</v>
      </c>
      <c r="C713" t="s">
        <v>24</v>
      </c>
      <c r="D713" t="s">
        <v>162</v>
      </c>
      <c r="E713" t="s">
        <v>5</v>
      </c>
      <c r="F713" t="s">
        <v>6</v>
      </c>
      <c r="G713">
        <v>173340</v>
      </c>
      <c r="H713">
        <v>16</v>
      </c>
      <c r="I713" t="s">
        <v>79</v>
      </c>
      <c r="J713" s="9">
        <v>42338</v>
      </c>
      <c r="K713" s="1">
        <v>10833.75</v>
      </c>
      <c r="L713" s="1" t="s">
        <v>165</v>
      </c>
    </row>
    <row r="714" spans="1:12" x14ac:dyDescent="0.25">
      <c r="A714" t="s">
        <v>157</v>
      </c>
      <c r="B714" t="s">
        <v>181</v>
      </c>
      <c r="C714" t="s">
        <v>131</v>
      </c>
      <c r="D714" t="s">
        <v>86</v>
      </c>
      <c r="E714" t="s">
        <v>9</v>
      </c>
      <c r="F714" t="s">
        <v>7</v>
      </c>
      <c r="G714">
        <v>62580</v>
      </c>
      <c r="H714">
        <v>16</v>
      </c>
      <c r="I714" t="s">
        <v>81</v>
      </c>
      <c r="J714" s="9">
        <v>42309</v>
      </c>
      <c r="K714" s="1">
        <v>3911.25</v>
      </c>
      <c r="L714" s="1" t="s">
        <v>167</v>
      </c>
    </row>
    <row r="715" spans="1:12" x14ac:dyDescent="0.25">
      <c r="A715" t="s">
        <v>157</v>
      </c>
      <c r="B715" t="s">
        <v>181</v>
      </c>
      <c r="C715" t="s">
        <v>117</v>
      </c>
      <c r="D715" t="s">
        <v>86</v>
      </c>
      <c r="E715" t="s">
        <v>5</v>
      </c>
      <c r="F715" t="s">
        <v>6</v>
      </c>
      <c r="G715">
        <v>116079</v>
      </c>
      <c r="H715">
        <v>41</v>
      </c>
      <c r="I715" t="s">
        <v>79</v>
      </c>
      <c r="J715" s="9">
        <v>42309</v>
      </c>
      <c r="K715" s="1">
        <v>2831.1951220000001</v>
      </c>
      <c r="L715" s="1" t="s">
        <v>165</v>
      </c>
    </row>
    <row r="716" spans="1:12" x14ac:dyDescent="0.25">
      <c r="A716" t="s">
        <v>157</v>
      </c>
      <c r="B716" t="s">
        <v>181</v>
      </c>
      <c r="C716" t="s">
        <v>15</v>
      </c>
      <c r="D716" t="s">
        <v>162</v>
      </c>
      <c r="E716" t="s">
        <v>5</v>
      </c>
      <c r="F716" t="s">
        <v>10</v>
      </c>
      <c r="G716">
        <v>147784</v>
      </c>
      <c r="H716">
        <v>16</v>
      </c>
      <c r="I716" t="s">
        <v>79</v>
      </c>
      <c r="J716" s="9">
        <v>42335</v>
      </c>
      <c r="K716" s="1">
        <v>9236.5</v>
      </c>
      <c r="L716" s="1" t="s">
        <v>165</v>
      </c>
    </row>
    <row r="717" spans="1:12" x14ac:dyDescent="0.25">
      <c r="A717" t="s">
        <v>157</v>
      </c>
      <c r="B717" t="s">
        <v>181</v>
      </c>
      <c r="C717" t="s">
        <v>74</v>
      </c>
      <c r="D717" t="s">
        <v>88</v>
      </c>
      <c r="E717" t="s">
        <v>9</v>
      </c>
      <c r="F717" t="s">
        <v>10</v>
      </c>
      <c r="G717">
        <v>145360</v>
      </c>
      <c r="H717">
        <v>34</v>
      </c>
      <c r="I717" t="s">
        <v>79</v>
      </c>
      <c r="J717" s="9">
        <v>42310</v>
      </c>
      <c r="K717" s="1">
        <v>4275.2941179999998</v>
      </c>
      <c r="L717" s="1" t="s">
        <v>165</v>
      </c>
    </row>
    <row r="718" spans="1:12" x14ac:dyDescent="0.25">
      <c r="A718" t="s">
        <v>157</v>
      </c>
      <c r="B718" t="s">
        <v>181</v>
      </c>
      <c r="C718" t="s">
        <v>117</v>
      </c>
      <c r="D718" t="s">
        <v>86</v>
      </c>
      <c r="E718" t="s">
        <v>5</v>
      </c>
      <c r="F718" t="s">
        <v>6</v>
      </c>
      <c r="G718">
        <v>62223</v>
      </c>
      <c r="H718">
        <v>24</v>
      </c>
      <c r="I718" t="s">
        <v>79</v>
      </c>
      <c r="J718" s="9">
        <v>42309</v>
      </c>
      <c r="K718" s="1">
        <v>2592.625</v>
      </c>
      <c r="L718" s="1" t="s">
        <v>167</v>
      </c>
    </row>
    <row r="719" spans="1:12" x14ac:dyDescent="0.25">
      <c r="A719" t="s">
        <v>157</v>
      </c>
      <c r="B719" t="s">
        <v>181</v>
      </c>
      <c r="C719" t="s">
        <v>15</v>
      </c>
      <c r="D719" t="s">
        <v>162</v>
      </c>
      <c r="E719" t="s">
        <v>5</v>
      </c>
      <c r="F719" t="s">
        <v>10</v>
      </c>
      <c r="G719">
        <v>177809</v>
      </c>
      <c r="H719">
        <v>30</v>
      </c>
      <c r="I719" t="s">
        <v>79</v>
      </c>
      <c r="J719" s="9">
        <v>42335</v>
      </c>
      <c r="K719" s="1">
        <v>5926.9666669999997</v>
      </c>
      <c r="L719" s="1" t="s">
        <v>165</v>
      </c>
    </row>
    <row r="720" spans="1:12" x14ac:dyDescent="0.25">
      <c r="A720" t="s">
        <v>157</v>
      </c>
      <c r="B720" t="s">
        <v>181</v>
      </c>
      <c r="C720" t="s">
        <v>143</v>
      </c>
      <c r="D720" t="s">
        <v>162</v>
      </c>
      <c r="E720" t="s">
        <v>5</v>
      </c>
      <c r="F720" t="s">
        <v>6</v>
      </c>
      <c r="G720">
        <v>78315</v>
      </c>
      <c r="H720">
        <v>21</v>
      </c>
      <c r="I720" t="s">
        <v>81</v>
      </c>
      <c r="J720" s="9">
        <v>42338</v>
      </c>
      <c r="K720" s="1">
        <v>3729.2857140000001</v>
      </c>
      <c r="L720" s="1" t="s">
        <v>167</v>
      </c>
    </row>
    <row r="721" spans="1:12" x14ac:dyDescent="0.25">
      <c r="A721" t="s">
        <v>157</v>
      </c>
      <c r="B721" t="s">
        <v>181</v>
      </c>
      <c r="C721" t="s">
        <v>117</v>
      </c>
      <c r="D721" t="s">
        <v>86</v>
      </c>
      <c r="E721" t="s">
        <v>5</v>
      </c>
      <c r="F721" t="s">
        <v>6</v>
      </c>
      <c r="G721">
        <v>69046</v>
      </c>
      <c r="H721">
        <v>35</v>
      </c>
      <c r="I721" t="s">
        <v>82</v>
      </c>
      <c r="J721" s="9">
        <v>42309</v>
      </c>
      <c r="K721" s="1">
        <v>1972.742857</v>
      </c>
      <c r="L721" s="1" t="s">
        <v>167</v>
      </c>
    </row>
    <row r="722" spans="1:12" x14ac:dyDescent="0.25">
      <c r="A722" t="s">
        <v>157</v>
      </c>
      <c r="B722" t="s">
        <v>181</v>
      </c>
      <c r="C722" t="s">
        <v>117</v>
      </c>
      <c r="D722" t="s">
        <v>86</v>
      </c>
      <c r="E722" t="s">
        <v>5</v>
      </c>
      <c r="F722" t="s">
        <v>6</v>
      </c>
      <c r="G722">
        <v>163488</v>
      </c>
      <c r="H722">
        <v>40</v>
      </c>
      <c r="I722" t="s">
        <v>79</v>
      </c>
      <c r="J722" s="9">
        <v>42309</v>
      </c>
      <c r="K722" s="1">
        <v>4087.2</v>
      </c>
      <c r="L722" s="1" t="s">
        <v>165</v>
      </c>
    </row>
    <row r="723" spans="1:12" x14ac:dyDescent="0.25">
      <c r="A723" t="s">
        <v>151</v>
      </c>
      <c r="B723" t="s">
        <v>181</v>
      </c>
      <c r="C723" t="s">
        <v>117</v>
      </c>
      <c r="D723" t="s">
        <v>86</v>
      </c>
      <c r="E723" t="s">
        <v>5</v>
      </c>
      <c r="F723" t="s">
        <v>6</v>
      </c>
      <c r="G723">
        <v>185348</v>
      </c>
      <c r="H723">
        <v>40</v>
      </c>
      <c r="I723" t="s">
        <v>79</v>
      </c>
      <c r="J723" s="9">
        <v>42309</v>
      </c>
      <c r="K723" s="1">
        <v>4633.7</v>
      </c>
      <c r="L723" s="1" t="s">
        <v>165</v>
      </c>
    </row>
    <row r="724" spans="1:12" x14ac:dyDescent="0.25">
      <c r="A724" t="s">
        <v>151</v>
      </c>
      <c r="B724" t="s">
        <v>181</v>
      </c>
      <c r="C724" t="s">
        <v>117</v>
      </c>
      <c r="D724" t="s">
        <v>86</v>
      </c>
      <c r="E724" t="s">
        <v>5</v>
      </c>
      <c r="F724" t="s">
        <v>6</v>
      </c>
      <c r="G724">
        <v>117329</v>
      </c>
      <c r="H724">
        <v>19</v>
      </c>
      <c r="I724" t="s">
        <v>81</v>
      </c>
      <c r="J724" s="9">
        <v>42309</v>
      </c>
      <c r="K724" s="1">
        <v>6175.2105259999998</v>
      </c>
      <c r="L724" s="1" t="s">
        <v>165</v>
      </c>
    </row>
    <row r="725" spans="1:12" x14ac:dyDescent="0.25">
      <c r="A725" t="s">
        <v>151</v>
      </c>
      <c r="B725" t="s">
        <v>181</v>
      </c>
      <c r="C725" t="s">
        <v>131</v>
      </c>
      <c r="D725" t="s">
        <v>86</v>
      </c>
      <c r="E725" t="s">
        <v>9</v>
      </c>
      <c r="F725" t="s">
        <v>6</v>
      </c>
      <c r="G725">
        <v>60050</v>
      </c>
      <c r="H725">
        <v>30</v>
      </c>
      <c r="I725" t="s">
        <v>180</v>
      </c>
      <c r="J725" s="9">
        <v>42338</v>
      </c>
      <c r="K725" s="1">
        <v>2001.666667</v>
      </c>
      <c r="L725" s="1" t="s">
        <v>167</v>
      </c>
    </row>
    <row r="726" spans="1:12" x14ac:dyDescent="0.25">
      <c r="A726" t="s">
        <v>151</v>
      </c>
      <c r="B726" t="s">
        <v>181</v>
      </c>
      <c r="C726" t="s">
        <v>131</v>
      </c>
      <c r="D726" t="s">
        <v>86</v>
      </c>
      <c r="E726" t="s">
        <v>9</v>
      </c>
      <c r="F726" t="s">
        <v>7</v>
      </c>
      <c r="G726">
        <v>92225</v>
      </c>
      <c r="H726">
        <v>42</v>
      </c>
      <c r="I726" t="s">
        <v>180</v>
      </c>
      <c r="J726" s="9">
        <v>42309</v>
      </c>
      <c r="K726" s="1">
        <v>2195.833333</v>
      </c>
      <c r="L726" s="1" t="s">
        <v>167</v>
      </c>
    </row>
    <row r="727" spans="1:12" x14ac:dyDescent="0.25">
      <c r="A727" t="s">
        <v>151</v>
      </c>
      <c r="B727" t="s">
        <v>181</v>
      </c>
      <c r="C727" t="s">
        <v>24</v>
      </c>
      <c r="D727" t="s">
        <v>86</v>
      </c>
      <c r="E727" t="s">
        <v>5</v>
      </c>
      <c r="F727" t="s">
        <v>6</v>
      </c>
      <c r="G727">
        <v>198207</v>
      </c>
      <c r="H727">
        <v>40</v>
      </c>
      <c r="I727" t="s">
        <v>82</v>
      </c>
      <c r="J727" s="9">
        <v>42338</v>
      </c>
      <c r="K727" s="1">
        <v>4955.1750000000002</v>
      </c>
      <c r="L727" s="1" t="s">
        <v>165</v>
      </c>
    </row>
    <row r="728" spans="1:12" x14ac:dyDescent="0.25">
      <c r="A728" t="s">
        <v>151</v>
      </c>
      <c r="B728" t="s">
        <v>181</v>
      </c>
      <c r="C728" t="s">
        <v>25</v>
      </c>
      <c r="D728" t="s">
        <v>86</v>
      </c>
      <c r="E728" t="s">
        <v>9</v>
      </c>
      <c r="F728" t="s">
        <v>6</v>
      </c>
      <c r="G728">
        <v>198864</v>
      </c>
      <c r="H728">
        <v>30</v>
      </c>
      <c r="I728" t="s">
        <v>180</v>
      </c>
      <c r="J728" s="9">
        <v>42338</v>
      </c>
      <c r="K728" s="1">
        <v>6628.8</v>
      </c>
      <c r="L728" s="1" t="s">
        <v>165</v>
      </c>
    </row>
    <row r="729" spans="1:12" x14ac:dyDescent="0.25">
      <c r="A729" t="s">
        <v>151</v>
      </c>
      <c r="B729" t="s">
        <v>181</v>
      </c>
      <c r="C729" t="s">
        <v>117</v>
      </c>
      <c r="D729" t="s">
        <v>86</v>
      </c>
      <c r="E729" t="s">
        <v>5</v>
      </c>
      <c r="F729" t="s">
        <v>6</v>
      </c>
      <c r="G729">
        <v>185665</v>
      </c>
      <c r="H729">
        <v>26</v>
      </c>
      <c r="I729" t="s">
        <v>79</v>
      </c>
      <c r="J729" s="9">
        <v>42309</v>
      </c>
      <c r="K729" s="1">
        <v>7140.9615379999996</v>
      </c>
      <c r="L729" s="1" t="s">
        <v>165</v>
      </c>
    </row>
    <row r="730" spans="1:12" x14ac:dyDescent="0.25">
      <c r="A730" t="s">
        <v>151</v>
      </c>
      <c r="B730" t="s">
        <v>181</v>
      </c>
      <c r="C730" t="s">
        <v>131</v>
      </c>
      <c r="D730" t="s">
        <v>86</v>
      </c>
      <c r="E730" t="s">
        <v>9</v>
      </c>
      <c r="F730" t="s">
        <v>6</v>
      </c>
      <c r="G730">
        <v>58494</v>
      </c>
      <c r="H730">
        <v>41</v>
      </c>
      <c r="I730" t="s">
        <v>180</v>
      </c>
      <c r="J730" s="9">
        <v>42309</v>
      </c>
      <c r="K730" s="1">
        <v>1426.6829270000001</v>
      </c>
      <c r="L730" s="1" t="s">
        <v>167</v>
      </c>
    </row>
    <row r="731" spans="1:12" x14ac:dyDescent="0.25">
      <c r="A731" t="s">
        <v>151</v>
      </c>
      <c r="B731" t="s">
        <v>181</v>
      </c>
      <c r="C731" t="s">
        <v>131</v>
      </c>
      <c r="D731" t="s">
        <v>86</v>
      </c>
      <c r="E731" t="s">
        <v>9</v>
      </c>
      <c r="F731" t="s">
        <v>7</v>
      </c>
      <c r="G731">
        <v>77687</v>
      </c>
      <c r="H731">
        <v>33</v>
      </c>
      <c r="I731" t="s">
        <v>81</v>
      </c>
      <c r="J731" s="9">
        <v>42309</v>
      </c>
      <c r="K731" s="1">
        <v>2354.151515</v>
      </c>
      <c r="L731" s="1" t="s">
        <v>167</v>
      </c>
    </row>
    <row r="732" spans="1:12" x14ac:dyDescent="0.25">
      <c r="A732" t="s">
        <v>151</v>
      </c>
      <c r="B732" t="s">
        <v>181</v>
      </c>
      <c r="C732" t="s">
        <v>124</v>
      </c>
      <c r="D732" t="s">
        <v>162</v>
      </c>
      <c r="E732" t="s">
        <v>5</v>
      </c>
      <c r="F732" t="s">
        <v>6</v>
      </c>
      <c r="G732">
        <v>183572</v>
      </c>
      <c r="H732">
        <v>42</v>
      </c>
      <c r="I732" t="s">
        <v>79</v>
      </c>
      <c r="J732" s="9">
        <v>42335</v>
      </c>
      <c r="K732" s="1">
        <v>4370.7619050000003</v>
      </c>
      <c r="L732" s="1" t="s">
        <v>165</v>
      </c>
    </row>
    <row r="733" spans="1:12" x14ac:dyDescent="0.25">
      <c r="A733" t="s">
        <v>151</v>
      </c>
      <c r="B733" t="s">
        <v>181</v>
      </c>
      <c r="C733" t="s">
        <v>117</v>
      </c>
      <c r="D733" t="s">
        <v>86</v>
      </c>
      <c r="E733" t="s">
        <v>5</v>
      </c>
      <c r="F733" t="s">
        <v>6</v>
      </c>
      <c r="G733">
        <v>192186</v>
      </c>
      <c r="H733">
        <v>40</v>
      </c>
      <c r="I733" t="s">
        <v>81</v>
      </c>
      <c r="J733" s="9">
        <v>42309</v>
      </c>
      <c r="K733" s="1">
        <v>4804.6499999999996</v>
      </c>
      <c r="L733" s="1" t="s">
        <v>165</v>
      </c>
    </row>
    <row r="734" spans="1:12" x14ac:dyDescent="0.25">
      <c r="A734" t="s">
        <v>152</v>
      </c>
      <c r="B734" t="s">
        <v>181</v>
      </c>
      <c r="C734" t="s">
        <v>131</v>
      </c>
      <c r="D734" t="s">
        <v>86</v>
      </c>
      <c r="E734" t="s">
        <v>9</v>
      </c>
      <c r="F734" t="s">
        <v>7</v>
      </c>
      <c r="G734">
        <v>169065</v>
      </c>
      <c r="H734">
        <v>19</v>
      </c>
      <c r="I734" t="s">
        <v>79</v>
      </c>
      <c r="J734" s="9">
        <v>42309</v>
      </c>
      <c r="K734" s="1">
        <v>8898.1578950000003</v>
      </c>
      <c r="L734" s="1" t="s">
        <v>165</v>
      </c>
    </row>
    <row r="735" spans="1:12" x14ac:dyDescent="0.25">
      <c r="A735" t="s">
        <v>152</v>
      </c>
      <c r="B735" t="s">
        <v>181</v>
      </c>
      <c r="C735" t="s">
        <v>117</v>
      </c>
      <c r="D735" t="s">
        <v>86</v>
      </c>
      <c r="E735" t="s">
        <v>5</v>
      </c>
      <c r="F735" t="s">
        <v>6</v>
      </c>
      <c r="G735">
        <v>106154</v>
      </c>
      <c r="H735">
        <v>42</v>
      </c>
      <c r="I735" t="s">
        <v>79</v>
      </c>
      <c r="J735" s="9">
        <v>42309</v>
      </c>
      <c r="K735" s="1">
        <v>2527.4761899999999</v>
      </c>
      <c r="L735" s="1" t="s">
        <v>165</v>
      </c>
    </row>
    <row r="736" spans="1:12" x14ac:dyDescent="0.25">
      <c r="A736" t="s">
        <v>152</v>
      </c>
      <c r="B736" t="s">
        <v>181</v>
      </c>
      <c r="C736" t="s">
        <v>15</v>
      </c>
      <c r="D736" t="s">
        <v>162</v>
      </c>
      <c r="E736" t="s">
        <v>5</v>
      </c>
      <c r="F736" t="s">
        <v>10</v>
      </c>
      <c r="G736">
        <v>99706</v>
      </c>
      <c r="H736">
        <v>26</v>
      </c>
      <c r="I736" t="s">
        <v>79</v>
      </c>
      <c r="J736" s="9">
        <v>42335</v>
      </c>
      <c r="K736" s="1">
        <v>3834.8461539999998</v>
      </c>
      <c r="L736" s="1" t="s">
        <v>167</v>
      </c>
    </row>
    <row r="737" spans="1:12" x14ac:dyDescent="0.25">
      <c r="A737" t="s">
        <v>152</v>
      </c>
      <c r="B737" t="s">
        <v>181</v>
      </c>
      <c r="C737" t="s">
        <v>133</v>
      </c>
      <c r="D737" t="s">
        <v>86</v>
      </c>
      <c r="E737" t="s">
        <v>5</v>
      </c>
      <c r="F737" t="s">
        <v>6</v>
      </c>
      <c r="G737">
        <v>228631</v>
      </c>
      <c r="H737">
        <v>15</v>
      </c>
      <c r="I737" t="s">
        <v>81</v>
      </c>
      <c r="J737" s="9">
        <v>42338</v>
      </c>
      <c r="K737" s="1">
        <v>15242.06667</v>
      </c>
      <c r="L737" s="1" t="s">
        <v>166</v>
      </c>
    </row>
    <row r="738" spans="1:12" x14ac:dyDescent="0.25">
      <c r="A738" t="s">
        <v>153</v>
      </c>
      <c r="B738" t="s">
        <v>181</v>
      </c>
      <c r="C738" t="s">
        <v>188</v>
      </c>
      <c r="D738" t="s">
        <v>86</v>
      </c>
      <c r="E738" t="s">
        <v>9</v>
      </c>
      <c r="F738" t="s">
        <v>6</v>
      </c>
      <c r="G738">
        <v>57810</v>
      </c>
      <c r="H738">
        <v>30</v>
      </c>
      <c r="I738" t="s">
        <v>180</v>
      </c>
      <c r="J738" s="9">
        <v>42335</v>
      </c>
      <c r="K738" s="1">
        <v>1927</v>
      </c>
      <c r="L738" s="1" t="s">
        <v>167</v>
      </c>
    </row>
    <row r="739" spans="1:12" x14ac:dyDescent="0.25">
      <c r="A739" t="s">
        <v>153</v>
      </c>
      <c r="B739" t="s">
        <v>181</v>
      </c>
      <c r="C739" t="s">
        <v>26</v>
      </c>
      <c r="D739" t="s">
        <v>89</v>
      </c>
      <c r="E739" t="s">
        <v>9</v>
      </c>
      <c r="F739" t="s">
        <v>6</v>
      </c>
      <c r="G739">
        <v>161757</v>
      </c>
      <c r="H739">
        <v>34</v>
      </c>
      <c r="I739" t="s">
        <v>180</v>
      </c>
      <c r="J739" s="9">
        <v>42333</v>
      </c>
      <c r="K739" s="1">
        <v>4757.5588239999997</v>
      </c>
      <c r="L739" s="1" t="s">
        <v>165</v>
      </c>
    </row>
    <row r="740" spans="1:12" x14ac:dyDescent="0.25">
      <c r="A740" t="s">
        <v>153</v>
      </c>
      <c r="B740" t="s">
        <v>181</v>
      </c>
      <c r="C740" t="s">
        <v>24</v>
      </c>
      <c r="D740" t="s">
        <v>162</v>
      </c>
      <c r="E740" t="s">
        <v>5</v>
      </c>
      <c r="F740" t="s">
        <v>6</v>
      </c>
      <c r="G740">
        <v>234845</v>
      </c>
      <c r="H740">
        <v>24</v>
      </c>
      <c r="I740" t="s">
        <v>79</v>
      </c>
      <c r="J740" s="9">
        <v>42338</v>
      </c>
      <c r="K740" s="1">
        <v>9785.2083330000005</v>
      </c>
      <c r="L740" s="1" t="s">
        <v>166</v>
      </c>
    </row>
    <row r="741" spans="1:12" x14ac:dyDescent="0.25">
      <c r="A741" t="s">
        <v>154</v>
      </c>
      <c r="B741" t="s">
        <v>181</v>
      </c>
      <c r="C741" t="s">
        <v>24</v>
      </c>
      <c r="D741" t="s">
        <v>86</v>
      </c>
      <c r="E741" t="s">
        <v>5</v>
      </c>
      <c r="F741" t="s">
        <v>6</v>
      </c>
      <c r="G741">
        <v>73039</v>
      </c>
      <c r="H741">
        <v>34</v>
      </c>
      <c r="I741" t="s">
        <v>81</v>
      </c>
      <c r="J741" s="9">
        <v>42338</v>
      </c>
      <c r="K741" s="1">
        <v>2148.2058820000002</v>
      </c>
      <c r="L741" s="1" t="s">
        <v>167</v>
      </c>
    </row>
    <row r="742" spans="1:12" x14ac:dyDescent="0.25">
      <c r="A742" t="s">
        <v>154</v>
      </c>
      <c r="B742" t="s">
        <v>181</v>
      </c>
      <c r="C742" t="s">
        <v>131</v>
      </c>
      <c r="D742" t="s">
        <v>86</v>
      </c>
      <c r="E742" t="s">
        <v>9</v>
      </c>
      <c r="F742" t="s">
        <v>7</v>
      </c>
      <c r="G742">
        <v>70112</v>
      </c>
      <c r="H742">
        <v>22</v>
      </c>
      <c r="I742" t="s">
        <v>81</v>
      </c>
      <c r="J742" s="9">
        <v>42334</v>
      </c>
      <c r="K742" s="1">
        <v>3186.909091</v>
      </c>
      <c r="L742" s="1" t="s">
        <v>167</v>
      </c>
    </row>
    <row r="743" spans="1:12" x14ac:dyDescent="0.25">
      <c r="A743" t="s">
        <v>154</v>
      </c>
      <c r="B743" t="s">
        <v>181</v>
      </c>
      <c r="C743" t="s">
        <v>117</v>
      </c>
      <c r="D743" t="s">
        <v>86</v>
      </c>
      <c r="E743" t="s">
        <v>5</v>
      </c>
      <c r="F743" t="s">
        <v>6</v>
      </c>
      <c r="G743">
        <v>123591</v>
      </c>
      <c r="H743">
        <v>36</v>
      </c>
      <c r="I743" t="s">
        <v>81</v>
      </c>
      <c r="J743" s="9">
        <v>42309</v>
      </c>
      <c r="K743" s="1">
        <v>3433.083333</v>
      </c>
      <c r="L743" s="1" t="s">
        <v>165</v>
      </c>
    </row>
    <row r="744" spans="1:12" x14ac:dyDescent="0.25">
      <c r="A744" t="s">
        <v>154</v>
      </c>
      <c r="B744" t="s">
        <v>181</v>
      </c>
      <c r="C744" t="s">
        <v>24</v>
      </c>
      <c r="D744" t="s">
        <v>86</v>
      </c>
      <c r="E744" t="s">
        <v>5</v>
      </c>
      <c r="F744" t="s">
        <v>6</v>
      </c>
      <c r="G744">
        <v>51345</v>
      </c>
      <c r="H744">
        <v>16</v>
      </c>
      <c r="I744" t="s">
        <v>82</v>
      </c>
      <c r="J744" s="9">
        <v>42338</v>
      </c>
      <c r="K744" s="1">
        <v>3209.0625</v>
      </c>
      <c r="L744" s="1" t="s">
        <v>167</v>
      </c>
    </row>
    <row r="745" spans="1:12" x14ac:dyDescent="0.25">
      <c r="A745" t="s">
        <v>154</v>
      </c>
      <c r="B745" t="s">
        <v>181</v>
      </c>
      <c r="C745" t="s">
        <v>74</v>
      </c>
      <c r="D745" t="s">
        <v>88</v>
      </c>
      <c r="E745" t="s">
        <v>9</v>
      </c>
      <c r="F745" t="s">
        <v>10</v>
      </c>
      <c r="G745">
        <v>245032</v>
      </c>
      <c r="H745">
        <v>30</v>
      </c>
      <c r="I745" t="s">
        <v>79</v>
      </c>
      <c r="J745" s="9">
        <v>42310</v>
      </c>
      <c r="K745" s="1">
        <v>8167.7333330000001</v>
      </c>
      <c r="L745" s="1" t="s">
        <v>166</v>
      </c>
    </row>
    <row r="746" spans="1:12" x14ac:dyDescent="0.25">
      <c r="A746" t="s">
        <v>156</v>
      </c>
      <c r="B746" t="s">
        <v>181</v>
      </c>
      <c r="C746" t="s">
        <v>59</v>
      </c>
      <c r="D746" t="s">
        <v>91</v>
      </c>
      <c r="E746" t="s">
        <v>9</v>
      </c>
      <c r="F746" t="s">
        <v>10</v>
      </c>
      <c r="G746">
        <v>196892</v>
      </c>
      <c r="H746">
        <v>16</v>
      </c>
      <c r="I746" t="s">
        <v>81</v>
      </c>
      <c r="J746" s="9">
        <v>42307</v>
      </c>
      <c r="K746" s="1">
        <v>12305.75</v>
      </c>
      <c r="L746" s="1" t="s">
        <v>165</v>
      </c>
    </row>
    <row r="747" spans="1:12" x14ac:dyDescent="0.25">
      <c r="A747" t="s">
        <v>156</v>
      </c>
      <c r="B747" t="s">
        <v>181</v>
      </c>
      <c r="C747" t="s">
        <v>59</v>
      </c>
      <c r="D747" t="s">
        <v>91</v>
      </c>
      <c r="E747" t="s">
        <v>9</v>
      </c>
      <c r="F747" t="s">
        <v>10</v>
      </c>
      <c r="G747">
        <v>101165</v>
      </c>
      <c r="H747">
        <v>26</v>
      </c>
      <c r="I747" t="s">
        <v>79</v>
      </c>
      <c r="J747" s="9">
        <v>42307</v>
      </c>
      <c r="K747" s="1">
        <v>3890.961538</v>
      </c>
      <c r="L747" s="1" t="s">
        <v>165</v>
      </c>
    </row>
    <row r="748" spans="1:12" x14ac:dyDescent="0.25">
      <c r="A748" t="s">
        <v>150</v>
      </c>
      <c r="B748" t="s">
        <v>181</v>
      </c>
      <c r="C748" t="s">
        <v>15</v>
      </c>
      <c r="D748" t="s">
        <v>162</v>
      </c>
      <c r="E748" t="s">
        <v>5</v>
      </c>
      <c r="F748" t="s">
        <v>6</v>
      </c>
      <c r="G748">
        <v>137994</v>
      </c>
      <c r="H748">
        <v>18</v>
      </c>
      <c r="I748" t="s">
        <v>81</v>
      </c>
      <c r="J748" s="9">
        <v>42300</v>
      </c>
      <c r="K748" s="1">
        <v>7666.3333329999996</v>
      </c>
      <c r="L748" s="1" t="s">
        <v>165</v>
      </c>
    </row>
    <row r="749" spans="1:12" x14ac:dyDescent="0.25">
      <c r="A749" t="s">
        <v>150</v>
      </c>
      <c r="B749" t="s">
        <v>181</v>
      </c>
      <c r="C749" t="s">
        <v>27</v>
      </c>
      <c r="D749" t="s">
        <v>86</v>
      </c>
      <c r="E749" t="s">
        <v>9</v>
      </c>
      <c r="F749" t="s">
        <v>12</v>
      </c>
      <c r="G749">
        <v>155581</v>
      </c>
      <c r="H749">
        <v>26</v>
      </c>
      <c r="I749" t="s">
        <v>79</v>
      </c>
      <c r="J749" s="9">
        <v>42303</v>
      </c>
      <c r="K749" s="1">
        <v>5983.8846149999999</v>
      </c>
      <c r="L749" s="1" t="s">
        <v>165</v>
      </c>
    </row>
    <row r="750" spans="1:12" x14ac:dyDescent="0.25">
      <c r="A750" t="s">
        <v>150</v>
      </c>
      <c r="B750" t="s">
        <v>181</v>
      </c>
      <c r="C750" t="s">
        <v>147</v>
      </c>
      <c r="D750" t="s">
        <v>89</v>
      </c>
      <c r="E750" t="s">
        <v>9</v>
      </c>
      <c r="F750" t="s">
        <v>6</v>
      </c>
      <c r="G750">
        <v>75064</v>
      </c>
      <c r="H750">
        <v>29</v>
      </c>
      <c r="I750" t="s">
        <v>79</v>
      </c>
      <c r="J750" s="9">
        <v>42278</v>
      </c>
      <c r="K750" s="1">
        <v>2588.4137930000002</v>
      </c>
      <c r="L750" s="1" t="s">
        <v>167</v>
      </c>
    </row>
    <row r="751" spans="1:12" x14ac:dyDescent="0.25">
      <c r="A751" t="s">
        <v>150</v>
      </c>
      <c r="B751" t="s">
        <v>181</v>
      </c>
      <c r="C751" t="s">
        <v>30</v>
      </c>
      <c r="D751" t="s">
        <v>86</v>
      </c>
      <c r="E751" t="s">
        <v>9</v>
      </c>
      <c r="F751" t="s">
        <v>6</v>
      </c>
      <c r="G751">
        <v>57247</v>
      </c>
      <c r="H751">
        <v>23</v>
      </c>
      <c r="I751" t="s">
        <v>81</v>
      </c>
      <c r="J751" s="9">
        <v>42308</v>
      </c>
      <c r="K751" s="1">
        <v>2489</v>
      </c>
      <c r="L751" s="1" t="s">
        <v>167</v>
      </c>
    </row>
    <row r="752" spans="1:12" x14ac:dyDescent="0.25">
      <c r="A752" t="s">
        <v>150</v>
      </c>
      <c r="B752" t="s">
        <v>181</v>
      </c>
      <c r="C752" t="s">
        <v>59</v>
      </c>
      <c r="D752" t="s">
        <v>91</v>
      </c>
      <c r="E752" t="s">
        <v>9</v>
      </c>
      <c r="F752" t="s">
        <v>10</v>
      </c>
      <c r="G752">
        <v>203539</v>
      </c>
      <c r="H752">
        <v>39</v>
      </c>
      <c r="I752" t="s">
        <v>79</v>
      </c>
      <c r="J752" s="9">
        <v>42307</v>
      </c>
      <c r="K752" s="1">
        <v>5218.9487179999996</v>
      </c>
      <c r="L752" s="1" t="s">
        <v>166</v>
      </c>
    </row>
    <row r="753" spans="1:12" x14ac:dyDescent="0.25">
      <c r="A753" t="s">
        <v>150</v>
      </c>
      <c r="B753" t="s">
        <v>181</v>
      </c>
      <c r="C753" t="s">
        <v>192</v>
      </c>
      <c r="D753" t="s">
        <v>162</v>
      </c>
      <c r="E753" t="s">
        <v>5</v>
      </c>
      <c r="F753" t="s">
        <v>6</v>
      </c>
      <c r="G753">
        <v>100741</v>
      </c>
      <c r="H753">
        <v>26</v>
      </c>
      <c r="I753" t="s">
        <v>79</v>
      </c>
      <c r="J753" s="9">
        <v>42306</v>
      </c>
      <c r="K753" s="1">
        <v>3874.6538460000002</v>
      </c>
      <c r="L753" s="1" t="s">
        <v>165</v>
      </c>
    </row>
    <row r="754" spans="1:12" x14ac:dyDescent="0.25">
      <c r="A754" t="s">
        <v>150</v>
      </c>
      <c r="B754" t="s">
        <v>181</v>
      </c>
      <c r="C754" t="s">
        <v>76</v>
      </c>
      <c r="D754" t="s">
        <v>88</v>
      </c>
      <c r="E754" t="s">
        <v>9</v>
      </c>
      <c r="F754" t="s">
        <v>7</v>
      </c>
      <c r="G754">
        <v>150801</v>
      </c>
      <c r="H754">
        <v>15</v>
      </c>
      <c r="I754" t="s">
        <v>180</v>
      </c>
      <c r="J754" s="9">
        <v>42307</v>
      </c>
      <c r="K754" s="1">
        <v>10053.4</v>
      </c>
      <c r="L754" s="1" t="s">
        <v>165</v>
      </c>
    </row>
    <row r="755" spans="1:12" x14ac:dyDescent="0.25">
      <c r="A755" t="s">
        <v>150</v>
      </c>
      <c r="B755" t="s">
        <v>181</v>
      </c>
      <c r="C755" t="s">
        <v>106</v>
      </c>
      <c r="D755" t="s">
        <v>86</v>
      </c>
      <c r="E755" t="s">
        <v>9</v>
      </c>
      <c r="F755" t="s">
        <v>6</v>
      </c>
      <c r="G755">
        <v>85371</v>
      </c>
      <c r="H755">
        <v>29</v>
      </c>
      <c r="I755" t="s">
        <v>180</v>
      </c>
      <c r="J755" s="9">
        <v>42291</v>
      </c>
      <c r="K755" s="1">
        <v>2943.8275859999999</v>
      </c>
      <c r="L755" s="1" t="s">
        <v>167</v>
      </c>
    </row>
    <row r="756" spans="1:12" x14ac:dyDescent="0.25">
      <c r="A756" t="s">
        <v>157</v>
      </c>
      <c r="B756" t="s">
        <v>181</v>
      </c>
      <c r="C756" t="s">
        <v>121</v>
      </c>
      <c r="D756" t="s">
        <v>87</v>
      </c>
      <c r="E756" t="s">
        <v>9</v>
      </c>
      <c r="F756" t="s">
        <v>7</v>
      </c>
      <c r="G756">
        <v>155728</v>
      </c>
      <c r="H756">
        <v>21</v>
      </c>
      <c r="I756" t="s">
        <v>180</v>
      </c>
      <c r="J756" s="9">
        <v>42292</v>
      </c>
      <c r="K756" s="1">
        <v>7415.6190479999996</v>
      </c>
      <c r="L756" s="1" t="s">
        <v>165</v>
      </c>
    </row>
    <row r="757" spans="1:12" x14ac:dyDescent="0.25">
      <c r="A757" t="s">
        <v>157</v>
      </c>
      <c r="B757" t="s">
        <v>181</v>
      </c>
      <c r="C757" t="s">
        <v>192</v>
      </c>
      <c r="D757" t="s">
        <v>162</v>
      </c>
      <c r="E757" t="s">
        <v>5</v>
      </c>
      <c r="F757" t="s">
        <v>6</v>
      </c>
      <c r="G757">
        <v>180268</v>
      </c>
      <c r="H757">
        <v>39</v>
      </c>
      <c r="I757" t="s">
        <v>81</v>
      </c>
      <c r="J757" s="9">
        <v>42306</v>
      </c>
      <c r="K757" s="1">
        <v>4622.25641</v>
      </c>
      <c r="L757" s="1" t="s">
        <v>165</v>
      </c>
    </row>
    <row r="758" spans="1:12" x14ac:dyDescent="0.25">
      <c r="A758" t="s">
        <v>157</v>
      </c>
      <c r="B758" t="s">
        <v>181</v>
      </c>
      <c r="C758" t="s">
        <v>124</v>
      </c>
      <c r="D758" t="s">
        <v>162</v>
      </c>
      <c r="E758" t="s">
        <v>5</v>
      </c>
      <c r="F758" t="s">
        <v>7</v>
      </c>
      <c r="G758">
        <v>137070</v>
      </c>
      <c r="H758">
        <v>20</v>
      </c>
      <c r="I758" t="s">
        <v>79</v>
      </c>
      <c r="J758" s="9">
        <v>42307</v>
      </c>
      <c r="K758" s="1">
        <v>6853.5</v>
      </c>
      <c r="L758" s="1" t="s">
        <v>165</v>
      </c>
    </row>
    <row r="759" spans="1:12" x14ac:dyDescent="0.25">
      <c r="A759" t="s">
        <v>157</v>
      </c>
      <c r="B759" t="s">
        <v>181</v>
      </c>
      <c r="C759" t="s">
        <v>147</v>
      </c>
      <c r="D759" t="s">
        <v>89</v>
      </c>
      <c r="E759" t="s">
        <v>9</v>
      </c>
      <c r="F759" t="s">
        <v>6</v>
      </c>
      <c r="G759">
        <v>190459</v>
      </c>
      <c r="H759">
        <v>34</v>
      </c>
      <c r="I759" t="s">
        <v>79</v>
      </c>
      <c r="J759" s="9">
        <v>42278</v>
      </c>
      <c r="K759" s="1">
        <v>5601.7352940000001</v>
      </c>
      <c r="L759" s="1" t="s">
        <v>165</v>
      </c>
    </row>
    <row r="760" spans="1:12" x14ac:dyDescent="0.25">
      <c r="A760" t="s">
        <v>157</v>
      </c>
      <c r="B760" t="s">
        <v>181</v>
      </c>
      <c r="C760" t="s">
        <v>59</v>
      </c>
      <c r="D760" t="s">
        <v>91</v>
      </c>
      <c r="E760" t="s">
        <v>9</v>
      </c>
      <c r="F760" t="s">
        <v>10</v>
      </c>
      <c r="G760">
        <v>187861</v>
      </c>
      <c r="H760">
        <v>42</v>
      </c>
      <c r="I760" t="s">
        <v>81</v>
      </c>
      <c r="J760" s="9">
        <v>42307</v>
      </c>
      <c r="K760" s="1">
        <v>4472.8809520000004</v>
      </c>
      <c r="L760" s="1" t="s">
        <v>165</v>
      </c>
    </row>
    <row r="761" spans="1:12" x14ac:dyDescent="0.25">
      <c r="A761" t="s">
        <v>157</v>
      </c>
      <c r="B761" t="s">
        <v>181</v>
      </c>
      <c r="C761" t="s">
        <v>59</v>
      </c>
      <c r="D761" t="s">
        <v>91</v>
      </c>
      <c r="E761" t="s">
        <v>9</v>
      </c>
      <c r="F761" t="s">
        <v>10</v>
      </c>
      <c r="G761">
        <v>115051</v>
      </c>
      <c r="H761">
        <v>17</v>
      </c>
      <c r="I761" t="s">
        <v>180</v>
      </c>
      <c r="J761" s="9">
        <v>42307</v>
      </c>
      <c r="K761" s="1">
        <v>6767.7058820000002</v>
      </c>
      <c r="L761" s="1" t="s">
        <v>165</v>
      </c>
    </row>
    <row r="762" spans="1:12" x14ac:dyDescent="0.25">
      <c r="A762" t="s">
        <v>157</v>
      </c>
      <c r="B762" t="s">
        <v>181</v>
      </c>
      <c r="C762" t="s">
        <v>194</v>
      </c>
      <c r="D762" t="s">
        <v>89</v>
      </c>
      <c r="E762" t="s">
        <v>9</v>
      </c>
      <c r="F762" t="s">
        <v>6</v>
      </c>
      <c r="G762">
        <v>75445</v>
      </c>
      <c r="H762">
        <v>32</v>
      </c>
      <c r="I762" t="s">
        <v>180</v>
      </c>
      <c r="J762" s="9">
        <v>42292</v>
      </c>
      <c r="K762" s="1">
        <v>2357.65625</v>
      </c>
      <c r="L762" s="1" t="s">
        <v>167</v>
      </c>
    </row>
    <row r="763" spans="1:12" x14ac:dyDescent="0.25">
      <c r="A763" t="s">
        <v>157</v>
      </c>
      <c r="B763" t="s">
        <v>181</v>
      </c>
      <c r="C763" t="s">
        <v>138</v>
      </c>
      <c r="D763" t="s">
        <v>86</v>
      </c>
      <c r="E763" t="s">
        <v>5</v>
      </c>
      <c r="F763" t="s">
        <v>6</v>
      </c>
      <c r="G763">
        <v>212526</v>
      </c>
      <c r="H763">
        <v>41</v>
      </c>
      <c r="I763" t="s">
        <v>81</v>
      </c>
      <c r="J763" s="9">
        <v>42307</v>
      </c>
      <c r="K763" s="1">
        <v>5183.5609759999998</v>
      </c>
      <c r="L763" s="1" t="s">
        <v>166</v>
      </c>
    </row>
    <row r="764" spans="1:12" x14ac:dyDescent="0.25">
      <c r="A764" t="s">
        <v>157</v>
      </c>
      <c r="B764" t="s">
        <v>181</v>
      </c>
      <c r="C764" t="s">
        <v>184</v>
      </c>
      <c r="D764" t="s">
        <v>87</v>
      </c>
      <c r="E764" t="s">
        <v>9</v>
      </c>
      <c r="F764" t="s">
        <v>7</v>
      </c>
      <c r="G764">
        <v>233126</v>
      </c>
      <c r="H764">
        <v>23</v>
      </c>
      <c r="I764" t="s">
        <v>180</v>
      </c>
      <c r="J764" s="9">
        <v>42292</v>
      </c>
      <c r="K764" s="1">
        <v>10135.913039999999</v>
      </c>
      <c r="L764" s="1" t="s">
        <v>166</v>
      </c>
    </row>
    <row r="765" spans="1:12" x14ac:dyDescent="0.25">
      <c r="A765" t="s">
        <v>157</v>
      </c>
      <c r="B765" t="s">
        <v>181</v>
      </c>
      <c r="C765" t="s">
        <v>188</v>
      </c>
      <c r="D765" t="s">
        <v>87</v>
      </c>
      <c r="E765" t="s">
        <v>9</v>
      </c>
      <c r="F765" t="s">
        <v>6</v>
      </c>
      <c r="G765">
        <v>53775</v>
      </c>
      <c r="H765">
        <v>15</v>
      </c>
      <c r="I765" t="s">
        <v>82</v>
      </c>
      <c r="J765" s="9">
        <v>42292</v>
      </c>
      <c r="K765" s="1">
        <v>3585</v>
      </c>
      <c r="L765" s="1" t="s">
        <v>167</v>
      </c>
    </row>
    <row r="766" spans="1:12" x14ac:dyDescent="0.25">
      <c r="A766" t="s">
        <v>157</v>
      </c>
      <c r="B766" t="s">
        <v>181</v>
      </c>
      <c r="C766" t="s">
        <v>59</v>
      </c>
      <c r="D766" t="s">
        <v>91</v>
      </c>
      <c r="E766" t="s">
        <v>9</v>
      </c>
      <c r="F766" t="s">
        <v>10</v>
      </c>
      <c r="G766">
        <v>103188</v>
      </c>
      <c r="H766">
        <v>32</v>
      </c>
      <c r="I766" t="s">
        <v>79</v>
      </c>
      <c r="J766" s="9">
        <v>42307</v>
      </c>
      <c r="K766" s="1">
        <v>3224.625</v>
      </c>
      <c r="L766" s="1" t="s">
        <v>165</v>
      </c>
    </row>
    <row r="767" spans="1:12" x14ac:dyDescent="0.25">
      <c r="A767" t="s">
        <v>157</v>
      </c>
      <c r="B767" t="s">
        <v>181</v>
      </c>
      <c r="C767" t="s">
        <v>59</v>
      </c>
      <c r="D767" t="s">
        <v>91</v>
      </c>
      <c r="E767" t="s">
        <v>9</v>
      </c>
      <c r="F767" t="s">
        <v>10</v>
      </c>
      <c r="G767">
        <v>80767</v>
      </c>
      <c r="H767">
        <v>25</v>
      </c>
      <c r="I767" t="s">
        <v>79</v>
      </c>
      <c r="J767" s="9">
        <v>42307</v>
      </c>
      <c r="K767" s="1">
        <v>3230.68</v>
      </c>
      <c r="L767" s="1" t="s">
        <v>167</v>
      </c>
    </row>
    <row r="768" spans="1:12" x14ac:dyDescent="0.25">
      <c r="A768" t="s">
        <v>157</v>
      </c>
      <c r="B768" t="s">
        <v>181</v>
      </c>
      <c r="C768" t="s">
        <v>144</v>
      </c>
      <c r="D768" t="s">
        <v>163</v>
      </c>
      <c r="E768" t="s">
        <v>5</v>
      </c>
      <c r="F768" t="s">
        <v>6</v>
      </c>
      <c r="G768">
        <v>171381</v>
      </c>
      <c r="H768">
        <v>15</v>
      </c>
      <c r="I768" t="s">
        <v>93</v>
      </c>
      <c r="J768" s="9">
        <v>42292</v>
      </c>
      <c r="K768" s="1">
        <v>11425.4</v>
      </c>
      <c r="L768" s="1" t="s">
        <v>165</v>
      </c>
    </row>
    <row r="769" spans="1:12" x14ac:dyDescent="0.25">
      <c r="A769" t="s">
        <v>157</v>
      </c>
      <c r="B769" t="s">
        <v>181</v>
      </c>
      <c r="C769" t="s">
        <v>59</v>
      </c>
      <c r="D769" t="s">
        <v>91</v>
      </c>
      <c r="E769" t="s">
        <v>9</v>
      </c>
      <c r="F769" t="s">
        <v>10</v>
      </c>
      <c r="G769">
        <v>224177</v>
      </c>
      <c r="H769">
        <v>24</v>
      </c>
      <c r="I769" t="s">
        <v>81</v>
      </c>
      <c r="J769" s="9">
        <v>42307</v>
      </c>
      <c r="K769" s="1">
        <v>9340.7083330000005</v>
      </c>
      <c r="L769" s="1" t="s">
        <v>166</v>
      </c>
    </row>
    <row r="770" spans="1:12" x14ac:dyDescent="0.25">
      <c r="A770" t="s">
        <v>157</v>
      </c>
      <c r="B770" t="s">
        <v>181</v>
      </c>
      <c r="C770" t="s">
        <v>59</v>
      </c>
      <c r="D770" t="s">
        <v>91</v>
      </c>
      <c r="E770" t="s">
        <v>9</v>
      </c>
      <c r="F770" t="s">
        <v>10</v>
      </c>
      <c r="G770">
        <v>59830</v>
      </c>
      <c r="H770">
        <v>20</v>
      </c>
      <c r="I770" t="s">
        <v>79</v>
      </c>
      <c r="J770" s="9">
        <v>42307</v>
      </c>
      <c r="K770" s="1">
        <v>2991.5</v>
      </c>
      <c r="L770" s="1" t="s">
        <v>167</v>
      </c>
    </row>
    <row r="771" spans="1:12" x14ac:dyDescent="0.25">
      <c r="A771" t="s">
        <v>157</v>
      </c>
      <c r="B771" t="s">
        <v>181</v>
      </c>
      <c r="C771" t="s">
        <v>23</v>
      </c>
      <c r="D771" t="s">
        <v>86</v>
      </c>
      <c r="E771" t="s">
        <v>5</v>
      </c>
      <c r="F771" t="s">
        <v>6</v>
      </c>
      <c r="G771">
        <v>53496</v>
      </c>
      <c r="H771">
        <v>21</v>
      </c>
      <c r="I771" t="s">
        <v>82</v>
      </c>
      <c r="J771" s="9">
        <v>42307</v>
      </c>
      <c r="K771" s="1">
        <v>2547.4285709999999</v>
      </c>
      <c r="L771" s="1" t="s">
        <v>167</v>
      </c>
    </row>
    <row r="772" spans="1:12" x14ac:dyDescent="0.25">
      <c r="A772" t="s">
        <v>151</v>
      </c>
      <c r="B772" t="s">
        <v>181</v>
      </c>
      <c r="C772" t="s">
        <v>184</v>
      </c>
      <c r="D772" t="s">
        <v>89</v>
      </c>
      <c r="E772" t="s">
        <v>9</v>
      </c>
      <c r="F772" t="s">
        <v>6</v>
      </c>
      <c r="G772">
        <v>230086</v>
      </c>
      <c r="H772">
        <v>28</v>
      </c>
      <c r="I772" t="s">
        <v>180</v>
      </c>
      <c r="J772" s="9">
        <v>42307</v>
      </c>
      <c r="K772" s="1">
        <v>8217.3571429999993</v>
      </c>
      <c r="L772" s="1" t="s">
        <v>166</v>
      </c>
    </row>
    <row r="773" spans="1:12" x14ac:dyDescent="0.25">
      <c r="A773" t="s">
        <v>151</v>
      </c>
      <c r="B773" t="s">
        <v>181</v>
      </c>
      <c r="C773" t="s">
        <v>59</v>
      </c>
      <c r="D773" t="s">
        <v>91</v>
      </c>
      <c r="E773" t="s">
        <v>9</v>
      </c>
      <c r="F773" t="s">
        <v>10</v>
      </c>
      <c r="G773">
        <v>66815</v>
      </c>
      <c r="H773">
        <v>29</v>
      </c>
      <c r="I773" t="s">
        <v>79</v>
      </c>
      <c r="J773" s="9">
        <v>42307</v>
      </c>
      <c r="K773" s="1">
        <v>2303.9655170000001</v>
      </c>
      <c r="L773" s="1" t="s">
        <v>167</v>
      </c>
    </row>
    <row r="774" spans="1:12" x14ac:dyDescent="0.25">
      <c r="A774" t="s">
        <v>151</v>
      </c>
      <c r="B774" t="s">
        <v>181</v>
      </c>
      <c r="C774" t="s">
        <v>59</v>
      </c>
      <c r="D774" t="s">
        <v>91</v>
      </c>
      <c r="E774" t="s">
        <v>9</v>
      </c>
      <c r="F774" t="s">
        <v>10</v>
      </c>
      <c r="G774">
        <v>119431</v>
      </c>
      <c r="H774">
        <v>34</v>
      </c>
      <c r="I774" t="s">
        <v>180</v>
      </c>
      <c r="J774" s="9">
        <v>42307</v>
      </c>
      <c r="K774" s="1">
        <v>3512.6764710000002</v>
      </c>
      <c r="L774" s="1" t="s">
        <v>165</v>
      </c>
    </row>
    <row r="775" spans="1:12" x14ac:dyDescent="0.25">
      <c r="A775" t="s">
        <v>151</v>
      </c>
      <c r="B775" t="s">
        <v>181</v>
      </c>
      <c r="C775" t="s">
        <v>59</v>
      </c>
      <c r="D775" t="s">
        <v>91</v>
      </c>
      <c r="E775" t="s">
        <v>9</v>
      </c>
      <c r="F775" t="s">
        <v>10</v>
      </c>
      <c r="G775">
        <v>125421</v>
      </c>
      <c r="H775">
        <v>30</v>
      </c>
      <c r="I775" t="s">
        <v>79</v>
      </c>
      <c r="J775" s="9">
        <v>42307</v>
      </c>
      <c r="K775" s="1">
        <v>4180.7</v>
      </c>
      <c r="L775" s="1" t="s">
        <v>165</v>
      </c>
    </row>
    <row r="776" spans="1:12" x14ac:dyDescent="0.25">
      <c r="A776" t="s">
        <v>151</v>
      </c>
      <c r="B776" t="s">
        <v>181</v>
      </c>
      <c r="C776" t="s">
        <v>14</v>
      </c>
      <c r="D776" t="s">
        <v>89</v>
      </c>
      <c r="E776" t="s">
        <v>9</v>
      </c>
      <c r="F776" t="s">
        <v>6</v>
      </c>
      <c r="G776">
        <v>228766</v>
      </c>
      <c r="H776">
        <v>24</v>
      </c>
      <c r="I776" t="s">
        <v>180</v>
      </c>
      <c r="J776" s="9">
        <v>42292</v>
      </c>
      <c r="K776" s="1">
        <v>9531.9166669999995</v>
      </c>
      <c r="L776" s="1" t="s">
        <v>166</v>
      </c>
    </row>
    <row r="777" spans="1:12" x14ac:dyDescent="0.25">
      <c r="A777" t="s">
        <v>151</v>
      </c>
      <c r="B777" t="s">
        <v>181</v>
      </c>
      <c r="C777" t="s">
        <v>118</v>
      </c>
      <c r="D777" t="s">
        <v>162</v>
      </c>
      <c r="E777" t="s">
        <v>5</v>
      </c>
      <c r="F777" t="s">
        <v>7</v>
      </c>
      <c r="G777">
        <v>249451</v>
      </c>
      <c r="H777">
        <v>34</v>
      </c>
      <c r="I777" t="s">
        <v>82</v>
      </c>
      <c r="J777" s="9">
        <v>42307</v>
      </c>
      <c r="K777" s="1">
        <v>7336.7941179999998</v>
      </c>
      <c r="L777" s="1" t="s">
        <v>166</v>
      </c>
    </row>
    <row r="778" spans="1:12" x14ac:dyDescent="0.25">
      <c r="A778" t="s">
        <v>151</v>
      </c>
      <c r="B778" t="s">
        <v>181</v>
      </c>
      <c r="C778" t="s">
        <v>117</v>
      </c>
      <c r="D778" t="s">
        <v>89</v>
      </c>
      <c r="E778" t="s">
        <v>9</v>
      </c>
      <c r="F778" t="s">
        <v>6</v>
      </c>
      <c r="G778">
        <v>217625</v>
      </c>
      <c r="H778">
        <v>37</v>
      </c>
      <c r="I778" t="s">
        <v>81</v>
      </c>
      <c r="J778" s="9">
        <v>42307</v>
      </c>
      <c r="K778" s="1">
        <v>5881.7567570000001</v>
      </c>
      <c r="L778" s="1" t="s">
        <v>166</v>
      </c>
    </row>
    <row r="779" spans="1:12" x14ac:dyDescent="0.25">
      <c r="A779" t="s">
        <v>151</v>
      </c>
      <c r="B779" t="s">
        <v>181</v>
      </c>
      <c r="C779" t="s">
        <v>195</v>
      </c>
      <c r="D779" t="s">
        <v>91</v>
      </c>
      <c r="E779" t="s">
        <v>9</v>
      </c>
      <c r="F779" t="s">
        <v>7</v>
      </c>
      <c r="G779">
        <v>131959</v>
      </c>
      <c r="H779">
        <v>23</v>
      </c>
      <c r="I779" t="s">
        <v>81</v>
      </c>
      <c r="J779" s="9">
        <v>42285</v>
      </c>
      <c r="K779" s="1">
        <v>5737.3478260000002</v>
      </c>
      <c r="L779" s="1" t="s">
        <v>165</v>
      </c>
    </row>
    <row r="780" spans="1:12" x14ac:dyDescent="0.25">
      <c r="A780" t="s">
        <v>151</v>
      </c>
      <c r="B780" t="s">
        <v>181</v>
      </c>
      <c r="C780" t="s">
        <v>59</v>
      </c>
      <c r="D780" t="s">
        <v>91</v>
      </c>
      <c r="E780" t="s">
        <v>9</v>
      </c>
      <c r="F780" t="s">
        <v>10</v>
      </c>
      <c r="G780">
        <v>205930</v>
      </c>
      <c r="H780">
        <v>38</v>
      </c>
      <c r="I780" t="s">
        <v>79</v>
      </c>
      <c r="J780" s="9">
        <v>42307</v>
      </c>
      <c r="K780" s="1">
        <v>5419.2105259999998</v>
      </c>
      <c r="L780" s="1" t="s">
        <v>166</v>
      </c>
    </row>
    <row r="781" spans="1:12" x14ac:dyDescent="0.25">
      <c r="A781" t="s">
        <v>151</v>
      </c>
      <c r="B781" t="s">
        <v>181</v>
      </c>
      <c r="C781" t="s">
        <v>147</v>
      </c>
      <c r="D781" t="s">
        <v>89</v>
      </c>
      <c r="E781" t="s">
        <v>9</v>
      </c>
      <c r="F781" t="s">
        <v>6</v>
      </c>
      <c r="G781">
        <v>142568</v>
      </c>
      <c r="H781">
        <v>17</v>
      </c>
      <c r="I781" t="s">
        <v>79</v>
      </c>
      <c r="J781" s="9">
        <v>42278</v>
      </c>
      <c r="K781" s="1">
        <v>8386.3529409999992</v>
      </c>
      <c r="L781" s="1" t="s">
        <v>165</v>
      </c>
    </row>
    <row r="782" spans="1:12" x14ac:dyDescent="0.25">
      <c r="A782" t="s">
        <v>151</v>
      </c>
      <c r="B782" t="s">
        <v>181</v>
      </c>
      <c r="C782" t="s">
        <v>147</v>
      </c>
      <c r="D782" t="s">
        <v>89</v>
      </c>
      <c r="E782" t="s">
        <v>9</v>
      </c>
      <c r="F782" t="s">
        <v>6</v>
      </c>
      <c r="G782">
        <v>150709</v>
      </c>
      <c r="H782">
        <v>30</v>
      </c>
      <c r="I782" t="s">
        <v>180</v>
      </c>
      <c r="J782" s="9">
        <v>42278</v>
      </c>
      <c r="K782" s="1">
        <v>5023.6333329999998</v>
      </c>
      <c r="L782" s="1" t="s">
        <v>165</v>
      </c>
    </row>
    <row r="783" spans="1:12" x14ac:dyDescent="0.25">
      <c r="A783" t="s">
        <v>151</v>
      </c>
      <c r="B783" t="s">
        <v>181</v>
      </c>
      <c r="C783" t="s">
        <v>184</v>
      </c>
      <c r="D783" t="s">
        <v>87</v>
      </c>
      <c r="E783" t="s">
        <v>9</v>
      </c>
      <c r="F783" t="s">
        <v>6</v>
      </c>
      <c r="G783">
        <v>105066</v>
      </c>
      <c r="H783">
        <v>39</v>
      </c>
      <c r="I783" t="s">
        <v>180</v>
      </c>
      <c r="J783" s="9">
        <v>42292</v>
      </c>
      <c r="K783" s="1">
        <v>2694</v>
      </c>
      <c r="L783" s="1" t="s">
        <v>165</v>
      </c>
    </row>
    <row r="784" spans="1:12" x14ac:dyDescent="0.25">
      <c r="A784" t="s">
        <v>151</v>
      </c>
      <c r="B784" t="s">
        <v>181</v>
      </c>
      <c r="C784" t="s">
        <v>138</v>
      </c>
      <c r="D784" t="s">
        <v>162</v>
      </c>
      <c r="E784" t="s">
        <v>5</v>
      </c>
      <c r="F784" t="s">
        <v>6</v>
      </c>
      <c r="G784">
        <v>72691</v>
      </c>
      <c r="H784">
        <v>32</v>
      </c>
      <c r="I784" t="s">
        <v>180</v>
      </c>
      <c r="J784" s="9">
        <v>42307</v>
      </c>
      <c r="K784" s="1">
        <v>2271.59375</v>
      </c>
      <c r="L784" s="1" t="s">
        <v>167</v>
      </c>
    </row>
    <row r="785" spans="1:12" x14ac:dyDescent="0.25">
      <c r="A785" t="s">
        <v>151</v>
      </c>
      <c r="B785" t="s">
        <v>181</v>
      </c>
      <c r="C785" t="s">
        <v>194</v>
      </c>
      <c r="D785" t="s">
        <v>91</v>
      </c>
      <c r="E785" t="s">
        <v>9</v>
      </c>
      <c r="F785" t="s">
        <v>6</v>
      </c>
      <c r="G785">
        <v>145150</v>
      </c>
      <c r="H785">
        <v>42</v>
      </c>
      <c r="I785" t="s">
        <v>82</v>
      </c>
      <c r="J785" s="9">
        <v>42292</v>
      </c>
      <c r="K785" s="1">
        <v>3455.9523810000001</v>
      </c>
      <c r="L785" s="1" t="s">
        <v>165</v>
      </c>
    </row>
    <row r="786" spans="1:12" x14ac:dyDescent="0.25">
      <c r="A786" t="s">
        <v>151</v>
      </c>
      <c r="B786" t="s">
        <v>181</v>
      </c>
      <c r="C786" t="s">
        <v>138</v>
      </c>
      <c r="D786" t="s">
        <v>162</v>
      </c>
      <c r="E786" t="s">
        <v>5</v>
      </c>
      <c r="F786" t="s">
        <v>6</v>
      </c>
      <c r="G786">
        <v>186297</v>
      </c>
      <c r="H786">
        <v>36</v>
      </c>
      <c r="I786" t="s">
        <v>180</v>
      </c>
      <c r="J786" s="9">
        <v>42307</v>
      </c>
      <c r="K786" s="1">
        <v>5174.9166670000004</v>
      </c>
      <c r="L786" s="1" t="s">
        <v>165</v>
      </c>
    </row>
    <row r="787" spans="1:12" x14ac:dyDescent="0.25">
      <c r="A787" t="s">
        <v>151</v>
      </c>
      <c r="B787" t="s">
        <v>181</v>
      </c>
      <c r="C787" t="s">
        <v>8</v>
      </c>
      <c r="D787" t="s">
        <v>89</v>
      </c>
      <c r="E787" t="s">
        <v>9</v>
      </c>
      <c r="F787" t="s">
        <v>6</v>
      </c>
      <c r="G787">
        <v>169649</v>
      </c>
      <c r="H787">
        <v>28</v>
      </c>
      <c r="I787" t="s">
        <v>180</v>
      </c>
      <c r="J787" s="9">
        <v>42307</v>
      </c>
      <c r="K787" s="1">
        <v>6058.8928569999998</v>
      </c>
      <c r="L787" s="1" t="s">
        <v>165</v>
      </c>
    </row>
    <row r="788" spans="1:12" x14ac:dyDescent="0.25">
      <c r="A788" t="s">
        <v>152</v>
      </c>
      <c r="B788" t="s">
        <v>181</v>
      </c>
      <c r="C788" t="s">
        <v>192</v>
      </c>
      <c r="D788" t="s">
        <v>162</v>
      </c>
      <c r="E788" t="s">
        <v>5</v>
      </c>
      <c r="F788" t="s">
        <v>6</v>
      </c>
      <c r="G788">
        <v>114630</v>
      </c>
      <c r="H788">
        <v>15</v>
      </c>
      <c r="I788" t="s">
        <v>81</v>
      </c>
      <c r="J788" s="9">
        <v>42306</v>
      </c>
      <c r="K788" s="1">
        <v>7642</v>
      </c>
      <c r="L788" s="1" t="s">
        <v>165</v>
      </c>
    </row>
    <row r="789" spans="1:12" x14ac:dyDescent="0.25">
      <c r="A789" t="s">
        <v>152</v>
      </c>
      <c r="B789" t="s">
        <v>181</v>
      </c>
      <c r="C789" t="s">
        <v>15</v>
      </c>
      <c r="D789" t="s">
        <v>162</v>
      </c>
      <c r="E789" t="s">
        <v>5</v>
      </c>
      <c r="F789" t="s">
        <v>6</v>
      </c>
      <c r="G789">
        <v>150686</v>
      </c>
      <c r="H789">
        <v>26</v>
      </c>
      <c r="I789" t="s">
        <v>81</v>
      </c>
      <c r="J789" s="9">
        <v>42300</v>
      </c>
      <c r="K789" s="1">
        <v>5795.6153850000001</v>
      </c>
      <c r="L789" s="1" t="s">
        <v>165</v>
      </c>
    </row>
    <row r="790" spans="1:12" x14ac:dyDescent="0.25">
      <c r="A790" t="s">
        <v>152</v>
      </c>
      <c r="B790" t="s">
        <v>181</v>
      </c>
      <c r="C790" t="s">
        <v>124</v>
      </c>
      <c r="D790" t="s">
        <v>162</v>
      </c>
      <c r="E790" t="s">
        <v>5</v>
      </c>
      <c r="F790" t="s">
        <v>6</v>
      </c>
      <c r="G790">
        <v>207351</v>
      </c>
      <c r="H790">
        <v>26</v>
      </c>
      <c r="I790" t="s">
        <v>93</v>
      </c>
      <c r="J790" s="9">
        <v>42307</v>
      </c>
      <c r="K790" s="1">
        <v>7975.0384620000004</v>
      </c>
      <c r="L790" s="1" t="s">
        <v>166</v>
      </c>
    </row>
    <row r="791" spans="1:12" x14ac:dyDescent="0.25">
      <c r="A791" t="s">
        <v>152</v>
      </c>
      <c r="B791" t="s">
        <v>181</v>
      </c>
      <c r="C791" t="s">
        <v>59</v>
      </c>
      <c r="D791" t="s">
        <v>91</v>
      </c>
      <c r="E791" t="s">
        <v>9</v>
      </c>
      <c r="F791" t="s">
        <v>10</v>
      </c>
      <c r="G791">
        <v>215420</v>
      </c>
      <c r="H791">
        <v>33</v>
      </c>
      <c r="I791" t="s">
        <v>81</v>
      </c>
      <c r="J791" s="9">
        <v>42307</v>
      </c>
      <c r="K791" s="1">
        <v>6527.878788</v>
      </c>
      <c r="L791" s="1" t="s">
        <v>166</v>
      </c>
    </row>
    <row r="792" spans="1:12" x14ac:dyDescent="0.25">
      <c r="A792" t="s">
        <v>152</v>
      </c>
      <c r="B792" t="s">
        <v>181</v>
      </c>
      <c r="C792" t="s">
        <v>75</v>
      </c>
      <c r="D792" t="s">
        <v>88</v>
      </c>
      <c r="E792" t="s">
        <v>9</v>
      </c>
      <c r="F792" t="s">
        <v>7</v>
      </c>
      <c r="G792">
        <v>216876</v>
      </c>
      <c r="H792">
        <v>33</v>
      </c>
      <c r="I792" t="s">
        <v>180</v>
      </c>
      <c r="J792" s="9">
        <v>42307</v>
      </c>
      <c r="K792" s="1">
        <v>6572</v>
      </c>
      <c r="L792" s="1" t="s">
        <v>166</v>
      </c>
    </row>
    <row r="793" spans="1:12" x14ac:dyDescent="0.25">
      <c r="A793" t="s">
        <v>152</v>
      </c>
      <c r="B793" t="s">
        <v>181</v>
      </c>
      <c r="C793" t="s">
        <v>28</v>
      </c>
      <c r="D793" t="s">
        <v>86</v>
      </c>
      <c r="E793" t="s">
        <v>9</v>
      </c>
      <c r="F793" t="s">
        <v>6</v>
      </c>
      <c r="G793">
        <v>71356</v>
      </c>
      <c r="H793">
        <v>39</v>
      </c>
      <c r="I793" t="s">
        <v>180</v>
      </c>
      <c r="J793" s="9">
        <v>42292</v>
      </c>
      <c r="K793" s="1">
        <v>1829.641026</v>
      </c>
      <c r="L793" s="1" t="s">
        <v>167</v>
      </c>
    </row>
    <row r="794" spans="1:12" x14ac:dyDescent="0.25">
      <c r="A794" t="s">
        <v>152</v>
      </c>
      <c r="B794" t="s">
        <v>181</v>
      </c>
      <c r="C794" t="s">
        <v>28</v>
      </c>
      <c r="D794" t="s">
        <v>86</v>
      </c>
      <c r="E794" t="s">
        <v>9</v>
      </c>
      <c r="F794" t="s">
        <v>6</v>
      </c>
      <c r="G794">
        <v>160149</v>
      </c>
      <c r="H794">
        <v>27</v>
      </c>
      <c r="I794" t="s">
        <v>180</v>
      </c>
      <c r="J794" s="9">
        <v>42292</v>
      </c>
      <c r="K794" s="1">
        <v>5931.4444439999997</v>
      </c>
      <c r="L794" s="1" t="s">
        <v>165</v>
      </c>
    </row>
    <row r="795" spans="1:12" x14ac:dyDescent="0.25">
      <c r="A795" t="s">
        <v>152</v>
      </c>
      <c r="B795" t="s">
        <v>181</v>
      </c>
      <c r="C795" t="s">
        <v>59</v>
      </c>
      <c r="D795" t="s">
        <v>91</v>
      </c>
      <c r="E795" t="s">
        <v>9</v>
      </c>
      <c r="F795" t="s">
        <v>10</v>
      </c>
      <c r="G795">
        <v>196395</v>
      </c>
      <c r="H795">
        <v>26</v>
      </c>
      <c r="I795" t="s">
        <v>79</v>
      </c>
      <c r="J795" s="9">
        <v>42307</v>
      </c>
      <c r="K795" s="1">
        <v>7553.6538460000002</v>
      </c>
      <c r="L795" s="1" t="s">
        <v>165</v>
      </c>
    </row>
    <row r="796" spans="1:12" x14ac:dyDescent="0.25">
      <c r="A796" t="s">
        <v>152</v>
      </c>
      <c r="B796" t="s">
        <v>181</v>
      </c>
      <c r="C796" t="s">
        <v>141</v>
      </c>
      <c r="D796" t="s">
        <v>89</v>
      </c>
      <c r="E796" t="s">
        <v>9</v>
      </c>
      <c r="F796" t="s">
        <v>6</v>
      </c>
      <c r="G796">
        <v>129885</v>
      </c>
      <c r="H796">
        <v>37</v>
      </c>
      <c r="I796" t="s">
        <v>180</v>
      </c>
      <c r="J796" s="9">
        <v>42307</v>
      </c>
      <c r="K796" s="1">
        <v>3510.405405</v>
      </c>
      <c r="L796" s="1" t="s">
        <v>165</v>
      </c>
    </row>
    <row r="797" spans="1:12" x14ac:dyDescent="0.25">
      <c r="A797" t="s">
        <v>153</v>
      </c>
      <c r="B797" t="s">
        <v>181</v>
      </c>
      <c r="C797" t="s">
        <v>186</v>
      </c>
      <c r="D797" t="s">
        <v>89</v>
      </c>
      <c r="E797" t="s">
        <v>9</v>
      </c>
      <c r="F797" t="s">
        <v>6</v>
      </c>
      <c r="G797">
        <v>238764</v>
      </c>
      <c r="H797">
        <v>35</v>
      </c>
      <c r="I797" t="s">
        <v>180</v>
      </c>
      <c r="J797" s="9">
        <v>42307</v>
      </c>
      <c r="K797" s="1">
        <v>6821.828571</v>
      </c>
      <c r="L797" s="1" t="s">
        <v>166</v>
      </c>
    </row>
    <row r="798" spans="1:12" x14ac:dyDescent="0.25">
      <c r="A798" t="s">
        <v>153</v>
      </c>
      <c r="B798" t="s">
        <v>181</v>
      </c>
      <c r="C798" t="s">
        <v>193</v>
      </c>
      <c r="D798" t="s">
        <v>89</v>
      </c>
      <c r="E798" t="s">
        <v>9</v>
      </c>
      <c r="F798" t="s">
        <v>6</v>
      </c>
      <c r="G798">
        <v>157787</v>
      </c>
      <c r="H798">
        <v>25</v>
      </c>
      <c r="I798" t="s">
        <v>93</v>
      </c>
      <c r="J798" s="9">
        <v>42307</v>
      </c>
      <c r="K798" s="1">
        <v>6311.48</v>
      </c>
      <c r="L798" s="1" t="s">
        <v>165</v>
      </c>
    </row>
    <row r="799" spans="1:12" x14ac:dyDescent="0.25">
      <c r="A799" t="s">
        <v>153</v>
      </c>
      <c r="B799" t="s">
        <v>181</v>
      </c>
      <c r="C799" t="s">
        <v>121</v>
      </c>
      <c r="D799" t="s">
        <v>162</v>
      </c>
      <c r="E799" t="s">
        <v>5</v>
      </c>
      <c r="F799" t="s">
        <v>6</v>
      </c>
      <c r="G799">
        <v>214993</v>
      </c>
      <c r="H799">
        <v>40</v>
      </c>
      <c r="I799" t="s">
        <v>82</v>
      </c>
      <c r="J799" s="9">
        <v>42300</v>
      </c>
      <c r="K799" s="1">
        <v>5374.8249999999998</v>
      </c>
      <c r="L799" s="1" t="s">
        <v>166</v>
      </c>
    </row>
    <row r="800" spans="1:12" x14ac:dyDescent="0.25">
      <c r="A800" t="s">
        <v>153</v>
      </c>
      <c r="B800" t="s">
        <v>181</v>
      </c>
      <c r="C800" t="s">
        <v>30</v>
      </c>
      <c r="D800" t="s">
        <v>86</v>
      </c>
      <c r="E800" t="s">
        <v>9</v>
      </c>
      <c r="F800" t="s">
        <v>6</v>
      </c>
      <c r="G800">
        <v>219452</v>
      </c>
      <c r="H800">
        <v>15</v>
      </c>
      <c r="I800" t="s">
        <v>81</v>
      </c>
      <c r="J800" s="9">
        <v>42308</v>
      </c>
      <c r="K800" s="1">
        <v>14630.133330000001</v>
      </c>
      <c r="L800" s="1" t="s">
        <v>166</v>
      </c>
    </row>
    <row r="801" spans="1:12" x14ac:dyDescent="0.25">
      <c r="A801" t="s">
        <v>154</v>
      </c>
      <c r="B801" t="s">
        <v>181</v>
      </c>
      <c r="C801" t="s">
        <v>144</v>
      </c>
      <c r="D801" t="s">
        <v>85</v>
      </c>
      <c r="E801" t="s">
        <v>5</v>
      </c>
      <c r="F801" t="s">
        <v>6</v>
      </c>
      <c r="G801">
        <v>188855</v>
      </c>
      <c r="H801">
        <v>23</v>
      </c>
      <c r="I801" t="s">
        <v>82</v>
      </c>
      <c r="J801" s="9">
        <v>42298</v>
      </c>
      <c r="K801" s="1">
        <v>8211.0869569999995</v>
      </c>
      <c r="L801" s="1" t="s">
        <v>165</v>
      </c>
    </row>
    <row r="802" spans="1:12" x14ac:dyDescent="0.25">
      <c r="A802" t="s">
        <v>154</v>
      </c>
      <c r="B802" t="s">
        <v>181</v>
      </c>
      <c r="C802" t="s">
        <v>59</v>
      </c>
      <c r="D802" t="s">
        <v>91</v>
      </c>
      <c r="E802" t="s">
        <v>9</v>
      </c>
      <c r="F802" t="s">
        <v>10</v>
      </c>
      <c r="G802">
        <v>147550</v>
      </c>
      <c r="H802">
        <v>16</v>
      </c>
      <c r="I802" t="s">
        <v>79</v>
      </c>
      <c r="J802" s="9">
        <v>42307</v>
      </c>
      <c r="K802" s="1">
        <v>9221.875</v>
      </c>
      <c r="L802" s="1" t="s">
        <v>165</v>
      </c>
    </row>
    <row r="803" spans="1:12" x14ac:dyDescent="0.25">
      <c r="A803" t="s">
        <v>154</v>
      </c>
      <c r="B803" t="s">
        <v>181</v>
      </c>
      <c r="C803" t="s">
        <v>59</v>
      </c>
      <c r="D803" t="s">
        <v>91</v>
      </c>
      <c r="E803" t="s">
        <v>9</v>
      </c>
      <c r="F803" t="s">
        <v>10</v>
      </c>
      <c r="G803">
        <v>196803</v>
      </c>
      <c r="H803">
        <v>20</v>
      </c>
      <c r="I803" t="s">
        <v>79</v>
      </c>
      <c r="J803" s="9">
        <v>42307</v>
      </c>
      <c r="K803" s="1">
        <v>9840.15</v>
      </c>
      <c r="L803" s="1" t="s">
        <v>165</v>
      </c>
    </row>
    <row r="804" spans="1:12" x14ac:dyDescent="0.25">
      <c r="A804" t="s">
        <v>154</v>
      </c>
      <c r="B804" t="s">
        <v>181</v>
      </c>
      <c r="C804" t="s">
        <v>133</v>
      </c>
      <c r="D804" t="s">
        <v>86</v>
      </c>
      <c r="E804" t="s">
        <v>5</v>
      </c>
      <c r="F804" t="s">
        <v>6</v>
      </c>
      <c r="G804">
        <v>64333</v>
      </c>
      <c r="H804">
        <v>16</v>
      </c>
      <c r="I804" t="s">
        <v>82</v>
      </c>
      <c r="J804" s="9">
        <v>42307</v>
      </c>
      <c r="K804" s="1">
        <v>4020.8125</v>
      </c>
      <c r="L804" s="1" t="s">
        <v>167</v>
      </c>
    </row>
    <row r="805" spans="1:12" x14ac:dyDescent="0.25">
      <c r="A805" t="s">
        <v>154</v>
      </c>
      <c r="B805" t="s">
        <v>181</v>
      </c>
      <c r="C805" t="s">
        <v>59</v>
      </c>
      <c r="D805" t="s">
        <v>91</v>
      </c>
      <c r="E805" t="s">
        <v>9</v>
      </c>
      <c r="F805" t="s">
        <v>10</v>
      </c>
      <c r="G805">
        <v>96521</v>
      </c>
      <c r="H805">
        <v>24</v>
      </c>
      <c r="I805" t="s">
        <v>81</v>
      </c>
      <c r="J805" s="9">
        <v>42307</v>
      </c>
      <c r="K805" s="1">
        <v>4021.708333</v>
      </c>
      <c r="L805" s="1" t="s">
        <v>167</v>
      </c>
    </row>
    <row r="806" spans="1:12" x14ac:dyDescent="0.25">
      <c r="A806" t="s">
        <v>154</v>
      </c>
      <c r="B806" t="s">
        <v>181</v>
      </c>
      <c r="C806" t="s">
        <v>59</v>
      </c>
      <c r="D806" t="s">
        <v>91</v>
      </c>
      <c r="E806" t="s">
        <v>9</v>
      </c>
      <c r="F806" t="s">
        <v>10</v>
      </c>
      <c r="G806">
        <v>174277</v>
      </c>
      <c r="H806">
        <v>38</v>
      </c>
      <c r="I806" t="s">
        <v>180</v>
      </c>
      <c r="J806" s="9">
        <v>42307</v>
      </c>
      <c r="K806" s="1">
        <v>4586.2368420000003</v>
      </c>
      <c r="L806" s="1" t="s">
        <v>165</v>
      </c>
    </row>
    <row r="807" spans="1:12" x14ac:dyDescent="0.25">
      <c r="A807" t="s">
        <v>154</v>
      </c>
      <c r="B807" t="s">
        <v>181</v>
      </c>
      <c r="C807" t="s">
        <v>147</v>
      </c>
      <c r="D807" t="s">
        <v>89</v>
      </c>
      <c r="E807" t="s">
        <v>9</v>
      </c>
      <c r="F807" t="s">
        <v>6</v>
      </c>
      <c r="G807">
        <v>52880</v>
      </c>
      <c r="H807">
        <v>38</v>
      </c>
      <c r="I807" t="s">
        <v>81</v>
      </c>
      <c r="J807" s="9">
        <v>42278</v>
      </c>
      <c r="K807" s="1">
        <v>1391.578947</v>
      </c>
      <c r="L807" s="1" t="s">
        <v>167</v>
      </c>
    </row>
    <row r="808" spans="1:12" x14ac:dyDescent="0.25">
      <c r="A808" t="s">
        <v>154</v>
      </c>
      <c r="B808" t="s">
        <v>181</v>
      </c>
      <c r="C808" t="s">
        <v>122</v>
      </c>
      <c r="D808" t="s">
        <v>162</v>
      </c>
      <c r="E808" t="s">
        <v>5</v>
      </c>
      <c r="F808" t="s">
        <v>6</v>
      </c>
      <c r="G808">
        <v>208373</v>
      </c>
      <c r="H808">
        <v>20</v>
      </c>
      <c r="I808" t="s">
        <v>93</v>
      </c>
      <c r="J808" s="9">
        <v>42300</v>
      </c>
      <c r="K808" s="1">
        <v>10418.65</v>
      </c>
      <c r="L808" s="1" t="s">
        <v>166</v>
      </c>
    </row>
    <row r="809" spans="1:12" x14ac:dyDescent="0.25">
      <c r="A809" t="s">
        <v>154</v>
      </c>
      <c r="B809" t="s">
        <v>181</v>
      </c>
      <c r="C809" t="s">
        <v>192</v>
      </c>
      <c r="D809" t="s">
        <v>162</v>
      </c>
      <c r="E809" t="s">
        <v>5</v>
      </c>
      <c r="F809" t="s">
        <v>6</v>
      </c>
      <c r="G809">
        <v>88986</v>
      </c>
      <c r="H809">
        <v>33</v>
      </c>
      <c r="I809" t="s">
        <v>79</v>
      </c>
      <c r="J809" s="9">
        <v>42306</v>
      </c>
      <c r="K809" s="1">
        <v>2696.5454549999999</v>
      </c>
      <c r="L809" s="1" t="s">
        <v>167</v>
      </c>
    </row>
    <row r="810" spans="1:12" x14ac:dyDescent="0.25">
      <c r="A810" t="s">
        <v>154</v>
      </c>
      <c r="B810" t="s">
        <v>181</v>
      </c>
      <c r="C810" t="s">
        <v>121</v>
      </c>
      <c r="D810" t="s">
        <v>162</v>
      </c>
      <c r="E810" t="s">
        <v>5</v>
      </c>
      <c r="F810" t="s">
        <v>6</v>
      </c>
      <c r="G810">
        <v>240673</v>
      </c>
      <c r="H810">
        <v>22</v>
      </c>
      <c r="I810" t="s">
        <v>180</v>
      </c>
      <c r="J810" s="9">
        <v>42300</v>
      </c>
      <c r="K810" s="1">
        <v>10939.68182</v>
      </c>
      <c r="L810" s="1" t="s">
        <v>166</v>
      </c>
    </row>
    <row r="811" spans="1:12" x14ac:dyDescent="0.25">
      <c r="A811" t="s">
        <v>155</v>
      </c>
      <c r="B811" t="s">
        <v>181</v>
      </c>
      <c r="C811" t="s">
        <v>119</v>
      </c>
      <c r="D811" t="s">
        <v>87</v>
      </c>
      <c r="E811" t="s">
        <v>9</v>
      </c>
      <c r="F811" t="s">
        <v>6</v>
      </c>
      <c r="G811">
        <v>115114</v>
      </c>
      <c r="H811">
        <v>18</v>
      </c>
      <c r="I811" t="s">
        <v>81</v>
      </c>
      <c r="J811" s="9">
        <v>42277</v>
      </c>
      <c r="K811" s="1">
        <v>6395.2222220000003</v>
      </c>
      <c r="L811" s="1" t="s">
        <v>165</v>
      </c>
    </row>
    <row r="812" spans="1:12" x14ac:dyDescent="0.25">
      <c r="A812" t="s">
        <v>155</v>
      </c>
      <c r="B812" t="s">
        <v>181</v>
      </c>
      <c r="C812" t="s">
        <v>188</v>
      </c>
      <c r="D812" t="s">
        <v>87</v>
      </c>
      <c r="E812" t="s">
        <v>9</v>
      </c>
      <c r="F812" t="s">
        <v>7</v>
      </c>
      <c r="G812">
        <v>103657</v>
      </c>
      <c r="H812">
        <v>40</v>
      </c>
      <c r="I812" t="s">
        <v>82</v>
      </c>
      <c r="J812" s="9">
        <v>42277</v>
      </c>
      <c r="K812" s="1">
        <v>2591.4250000000002</v>
      </c>
      <c r="L812" s="1" t="s">
        <v>165</v>
      </c>
    </row>
    <row r="813" spans="1:12" x14ac:dyDescent="0.25">
      <c r="A813" t="s">
        <v>156</v>
      </c>
      <c r="B813" t="s">
        <v>181</v>
      </c>
      <c r="C813" t="s">
        <v>124</v>
      </c>
      <c r="D813" t="s">
        <v>162</v>
      </c>
      <c r="E813" t="s">
        <v>5</v>
      </c>
      <c r="F813" t="s">
        <v>7</v>
      </c>
      <c r="G813">
        <v>190412</v>
      </c>
      <c r="H813">
        <v>41</v>
      </c>
      <c r="I813" t="s">
        <v>79</v>
      </c>
      <c r="J813" s="9">
        <v>42277</v>
      </c>
      <c r="K813" s="1">
        <v>4644.1951220000001</v>
      </c>
      <c r="L813" s="1" t="s">
        <v>165</v>
      </c>
    </row>
    <row r="814" spans="1:12" x14ac:dyDescent="0.25">
      <c r="A814" t="s">
        <v>156</v>
      </c>
      <c r="B814" t="s">
        <v>181</v>
      </c>
      <c r="C814" t="s">
        <v>182</v>
      </c>
      <c r="D814" t="s">
        <v>91</v>
      </c>
      <c r="E814" t="s">
        <v>9</v>
      </c>
      <c r="F814" t="s">
        <v>6</v>
      </c>
      <c r="G814">
        <v>105612</v>
      </c>
      <c r="H814">
        <v>17</v>
      </c>
      <c r="I814" t="s">
        <v>180</v>
      </c>
      <c r="J814" s="9">
        <v>42277</v>
      </c>
      <c r="K814" s="1">
        <v>6212.4705880000001</v>
      </c>
      <c r="L814" s="1" t="s">
        <v>165</v>
      </c>
    </row>
    <row r="815" spans="1:12" x14ac:dyDescent="0.25">
      <c r="A815" t="s">
        <v>156</v>
      </c>
      <c r="B815" t="s">
        <v>181</v>
      </c>
      <c r="C815" t="s">
        <v>149</v>
      </c>
      <c r="D815" t="s">
        <v>91</v>
      </c>
      <c r="E815" t="s">
        <v>9</v>
      </c>
      <c r="F815" t="s">
        <v>6</v>
      </c>
      <c r="G815">
        <v>95576</v>
      </c>
      <c r="H815">
        <v>19</v>
      </c>
      <c r="I815" t="s">
        <v>82</v>
      </c>
      <c r="J815" s="9">
        <v>42277</v>
      </c>
      <c r="K815" s="1">
        <v>5030.3157890000002</v>
      </c>
      <c r="L815" s="1" t="s">
        <v>167</v>
      </c>
    </row>
    <row r="816" spans="1:12" x14ac:dyDescent="0.25">
      <c r="A816" t="s">
        <v>156</v>
      </c>
      <c r="B816" t="s">
        <v>181</v>
      </c>
      <c r="C816" t="s">
        <v>141</v>
      </c>
      <c r="D816" t="s">
        <v>86</v>
      </c>
      <c r="E816" t="s">
        <v>5</v>
      </c>
      <c r="F816" t="s">
        <v>7</v>
      </c>
      <c r="G816">
        <v>204578</v>
      </c>
      <c r="H816">
        <v>22</v>
      </c>
      <c r="I816" t="s">
        <v>82</v>
      </c>
      <c r="J816" s="9">
        <v>42262</v>
      </c>
      <c r="K816" s="1">
        <v>9299</v>
      </c>
      <c r="L816" s="1" t="s">
        <v>166</v>
      </c>
    </row>
    <row r="817" spans="1:12" x14ac:dyDescent="0.25">
      <c r="A817" t="s">
        <v>156</v>
      </c>
      <c r="B817" t="s">
        <v>181</v>
      </c>
      <c r="C817" t="s">
        <v>142</v>
      </c>
      <c r="D817" t="s">
        <v>88</v>
      </c>
      <c r="E817" t="s">
        <v>9</v>
      </c>
      <c r="F817" t="s">
        <v>6</v>
      </c>
      <c r="G817">
        <v>132888</v>
      </c>
      <c r="H817">
        <v>16</v>
      </c>
      <c r="I817" t="s">
        <v>180</v>
      </c>
      <c r="J817" s="9">
        <v>42277</v>
      </c>
      <c r="K817" s="1">
        <v>8305.5</v>
      </c>
      <c r="L817" s="1" t="s">
        <v>165</v>
      </c>
    </row>
    <row r="818" spans="1:12" x14ac:dyDescent="0.25">
      <c r="A818" t="s">
        <v>156</v>
      </c>
      <c r="B818" t="s">
        <v>181</v>
      </c>
      <c r="C818" t="s">
        <v>4</v>
      </c>
      <c r="D818" t="s">
        <v>88</v>
      </c>
      <c r="E818" t="s">
        <v>9</v>
      </c>
      <c r="F818" t="s">
        <v>6</v>
      </c>
      <c r="G818">
        <v>170772</v>
      </c>
      <c r="H818">
        <v>25</v>
      </c>
      <c r="I818" t="s">
        <v>81</v>
      </c>
      <c r="J818" s="9">
        <v>42277</v>
      </c>
      <c r="K818" s="1">
        <v>6830.88</v>
      </c>
      <c r="L818" s="1" t="s">
        <v>165</v>
      </c>
    </row>
    <row r="819" spans="1:12" x14ac:dyDescent="0.25">
      <c r="A819" t="s">
        <v>156</v>
      </c>
      <c r="B819" t="s">
        <v>181</v>
      </c>
      <c r="C819" t="s">
        <v>183</v>
      </c>
      <c r="D819" t="s">
        <v>91</v>
      </c>
      <c r="E819" t="s">
        <v>9</v>
      </c>
      <c r="F819" t="s">
        <v>6</v>
      </c>
      <c r="G819">
        <v>223804</v>
      </c>
      <c r="H819">
        <v>15</v>
      </c>
      <c r="I819" t="s">
        <v>79</v>
      </c>
      <c r="J819" s="9">
        <v>42264</v>
      </c>
      <c r="K819" s="1">
        <v>14920.266670000001</v>
      </c>
      <c r="L819" s="1" t="s">
        <v>166</v>
      </c>
    </row>
    <row r="820" spans="1:12" x14ac:dyDescent="0.25">
      <c r="A820" t="s">
        <v>156</v>
      </c>
      <c r="B820" t="s">
        <v>181</v>
      </c>
      <c r="C820" t="s">
        <v>183</v>
      </c>
      <c r="D820" t="s">
        <v>91</v>
      </c>
      <c r="E820" t="s">
        <v>9</v>
      </c>
      <c r="F820" t="s">
        <v>6</v>
      </c>
      <c r="G820">
        <v>65521</v>
      </c>
      <c r="H820">
        <v>26</v>
      </c>
      <c r="I820" t="s">
        <v>180</v>
      </c>
      <c r="J820" s="9">
        <v>42264</v>
      </c>
      <c r="K820" s="1">
        <v>2520.038462</v>
      </c>
      <c r="L820" s="1" t="s">
        <v>167</v>
      </c>
    </row>
    <row r="821" spans="1:12" x14ac:dyDescent="0.25">
      <c r="A821" t="s">
        <v>150</v>
      </c>
      <c r="B821" t="s">
        <v>181</v>
      </c>
      <c r="C821" t="s">
        <v>191</v>
      </c>
      <c r="D821" t="s">
        <v>163</v>
      </c>
      <c r="E821" t="s">
        <v>5</v>
      </c>
      <c r="F821" t="s">
        <v>6</v>
      </c>
      <c r="G821">
        <v>121684</v>
      </c>
      <c r="H821">
        <v>20</v>
      </c>
      <c r="I821" t="s">
        <v>81</v>
      </c>
      <c r="J821" s="9">
        <v>42277</v>
      </c>
      <c r="K821" s="1">
        <v>6084.2</v>
      </c>
      <c r="L821" s="1" t="s">
        <v>165</v>
      </c>
    </row>
    <row r="822" spans="1:12" x14ac:dyDescent="0.25">
      <c r="A822" t="s">
        <v>150</v>
      </c>
      <c r="B822" t="s">
        <v>181</v>
      </c>
      <c r="C822" t="s">
        <v>141</v>
      </c>
      <c r="D822" t="s">
        <v>86</v>
      </c>
      <c r="E822" t="s">
        <v>5</v>
      </c>
      <c r="F822" t="s">
        <v>7</v>
      </c>
      <c r="G822">
        <v>223849</v>
      </c>
      <c r="H822">
        <v>15</v>
      </c>
      <c r="I822" t="s">
        <v>79</v>
      </c>
      <c r="J822" s="9">
        <v>42262</v>
      </c>
      <c r="K822" s="1">
        <v>14923.266670000001</v>
      </c>
      <c r="L822" s="1" t="s">
        <v>166</v>
      </c>
    </row>
    <row r="823" spans="1:12" x14ac:dyDescent="0.25">
      <c r="A823" t="s">
        <v>150</v>
      </c>
      <c r="B823" t="s">
        <v>181</v>
      </c>
      <c r="C823" t="s">
        <v>135</v>
      </c>
      <c r="D823" t="s">
        <v>87</v>
      </c>
      <c r="E823" t="s">
        <v>9</v>
      </c>
      <c r="F823" t="s">
        <v>10</v>
      </c>
      <c r="G823">
        <v>179295</v>
      </c>
      <c r="H823">
        <v>33</v>
      </c>
      <c r="I823" t="s">
        <v>180</v>
      </c>
      <c r="J823" s="9">
        <v>42277</v>
      </c>
      <c r="K823" s="1">
        <v>5433.181818</v>
      </c>
      <c r="L823" s="1" t="s">
        <v>165</v>
      </c>
    </row>
    <row r="824" spans="1:12" x14ac:dyDescent="0.25">
      <c r="A824" t="s">
        <v>150</v>
      </c>
      <c r="B824" t="s">
        <v>181</v>
      </c>
      <c r="C824" t="s">
        <v>121</v>
      </c>
      <c r="D824" t="s">
        <v>162</v>
      </c>
      <c r="E824" t="s">
        <v>5</v>
      </c>
      <c r="F824" t="s">
        <v>6</v>
      </c>
      <c r="G824">
        <v>233181</v>
      </c>
      <c r="H824">
        <v>19</v>
      </c>
      <c r="I824" t="s">
        <v>82</v>
      </c>
      <c r="J824" s="9">
        <v>42277</v>
      </c>
      <c r="K824" s="1">
        <v>12272.684209999999</v>
      </c>
      <c r="L824" s="1" t="s">
        <v>166</v>
      </c>
    </row>
    <row r="825" spans="1:12" x14ac:dyDescent="0.25">
      <c r="A825" t="s">
        <v>150</v>
      </c>
      <c r="B825" t="s">
        <v>181</v>
      </c>
      <c r="C825" t="s">
        <v>24</v>
      </c>
      <c r="D825" t="s">
        <v>162</v>
      </c>
      <c r="E825" t="s">
        <v>5</v>
      </c>
      <c r="F825" t="s">
        <v>6</v>
      </c>
      <c r="G825">
        <v>161549</v>
      </c>
      <c r="H825">
        <v>32</v>
      </c>
      <c r="I825" t="s">
        <v>79</v>
      </c>
      <c r="J825" s="9">
        <v>42277</v>
      </c>
      <c r="K825" s="1">
        <v>5048.40625</v>
      </c>
      <c r="L825" s="1" t="s">
        <v>165</v>
      </c>
    </row>
    <row r="826" spans="1:12" x14ac:dyDescent="0.25">
      <c r="A826" t="s">
        <v>150</v>
      </c>
      <c r="B826" t="s">
        <v>181</v>
      </c>
      <c r="C826" t="s">
        <v>28</v>
      </c>
      <c r="D826" t="s">
        <v>87</v>
      </c>
      <c r="E826" t="s">
        <v>9</v>
      </c>
      <c r="F826" t="s">
        <v>7</v>
      </c>
      <c r="G826">
        <v>132445</v>
      </c>
      <c r="H826">
        <v>26</v>
      </c>
      <c r="I826" t="s">
        <v>82</v>
      </c>
      <c r="J826" s="9">
        <v>42269</v>
      </c>
      <c r="K826" s="1">
        <v>5094.0384620000004</v>
      </c>
      <c r="L826" s="1" t="s">
        <v>165</v>
      </c>
    </row>
    <row r="827" spans="1:12" x14ac:dyDescent="0.25">
      <c r="A827" t="s">
        <v>150</v>
      </c>
      <c r="B827" t="s">
        <v>181</v>
      </c>
      <c r="C827" t="s">
        <v>4</v>
      </c>
      <c r="D827" t="s">
        <v>88</v>
      </c>
      <c r="E827" t="s">
        <v>9</v>
      </c>
      <c r="F827" t="s">
        <v>6</v>
      </c>
      <c r="G827">
        <v>236889</v>
      </c>
      <c r="H827">
        <v>30</v>
      </c>
      <c r="I827" t="s">
        <v>180</v>
      </c>
      <c r="J827" s="9">
        <v>42277</v>
      </c>
      <c r="K827" s="1">
        <v>7896.3</v>
      </c>
      <c r="L827" s="1" t="s">
        <v>166</v>
      </c>
    </row>
    <row r="828" spans="1:12" x14ac:dyDescent="0.25">
      <c r="A828" t="s">
        <v>150</v>
      </c>
      <c r="B828" t="s">
        <v>181</v>
      </c>
      <c r="C828" t="s">
        <v>188</v>
      </c>
      <c r="D828" t="s">
        <v>88</v>
      </c>
      <c r="E828" t="s">
        <v>9</v>
      </c>
      <c r="F828" t="s">
        <v>7</v>
      </c>
      <c r="G828">
        <v>143753</v>
      </c>
      <c r="H828">
        <v>32</v>
      </c>
      <c r="I828" t="s">
        <v>81</v>
      </c>
      <c r="J828" s="9">
        <v>42270</v>
      </c>
      <c r="K828" s="1">
        <v>4492.28125</v>
      </c>
      <c r="L828" s="1" t="s">
        <v>165</v>
      </c>
    </row>
    <row r="829" spans="1:12" x14ac:dyDescent="0.25">
      <c r="A829" t="s">
        <v>150</v>
      </c>
      <c r="B829" t="s">
        <v>181</v>
      </c>
      <c r="C829" t="s">
        <v>142</v>
      </c>
      <c r="D829" t="s">
        <v>88</v>
      </c>
      <c r="E829" t="s">
        <v>9</v>
      </c>
      <c r="F829" t="s">
        <v>6</v>
      </c>
      <c r="G829">
        <v>55401</v>
      </c>
      <c r="H829">
        <v>22</v>
      </c>
      <c r="I829" t="s">
        <v>81</v>
      </c>
      <c r="J829" s="9">
        <v>42263</v>
      </c>
      <c r="K829" s="1">
        <v>2518.227273</v>
      </c>
      <c r="L829" s="1" t="s">
        <v>167</v>
      </c>
    </row>
    <row r="830" spans="1:12" x14ac:dyDescent="0.25">
      <c r="A830" t="s">
        <v>150</v>
      </c>
      <c r="B830" t="s">
        <v>181</v>
      </c>
      <c r="C830" t="s">
        <v>28</v>
      </c>
      <c r="D830" t="s">
        <v>88</v>
      </c>
      <c r="E830" t="s">
        <v>9</v>
      </c>
      <c r="F830" t="s">
        <v>6</v>
      </c>
      <c r="G830">
        <v>152333</v>
      </c>
      <c r="H830">
        <v>32</v>
      </c>
      <c r="I830" t="s">
        <v>79</v>
      </c>
      <c r="J830" s="9">
        <v>42277</v>
      </c>
      <c r="K830" s="1">
        <v>4760.40625</v>
      </c>
      <c r="L830" s="1" t="s">
        <v>165</v>
      </c>
    </row>
    <row r="831" spans="1:12" x14ac:dyDescent="0.25">
      <c r="A831" t="s">
        <v>157</v>
      </c>
      <c r="B831" t="s">
        <v>181</v>
      </c>
      <c r="C831" t="s">
        <v>190</v>
      </c>
      <c r="D831" t="s">
        <v>87</v>
      </c>
      <c r="E831" t="s">
        <v>9</v>
      </c>
      <c r="F831" t="s">
        <v>6</v>
      </c>
      <c r="G831">
        <v>238115</v>
      </c>
      <c r="H831">
        <v>38</v>
      </c>
      <c r="I831" t="s">
        <v>180</v>
      </c>
      <c r="J831" s="9">
        <v>42262</v>
      </c>
      <c r="K831" s="1">
        <v>6266.1842109999998</v>
      </c>
      <c r="L831" s="1" t="s">
        <v>166</v>
      </c>
    </row>
    <row r="832" spans="1:12" x14ac:dyDescent="0.25">
      <c r="A832" t="s">
        <v>157</v>
      </c>
      <c r="B832" t="s">
        <v>181</v>
      </c>
      <c r="C832" t="s">
        <v>123</v>
      </c>
      <c r="D832" t="s">
        <v>91</v>
      </c>
      <c r="E832" t="s">
        <v>9</v>
      </c>
      <c r="F832" t="s">
        <v>6</v>
      </c>
      <c r="G832">
        <v>101717</v>
      </c>
      <c r="H832">
        <v>29</v>
      </c>
      <c r="I832" t="s">
        <v>79</v>
      </c>
      <c r="J832" s="9">
        <v>42248</v>
      </c>
      <c r="K832" s="1">
        <v>3507.482759</v>
      </c>
      <c r="L832" s="1" t="s">
        <v>165</v>
      </c>
    </row>
    <row r="833" spans="1:12" x14ac:dyDescent="0.25">
      <c r="A833" t="s">
        <v>157</v>
      </c>
      <c r="B833" t="s">
        <v>181</v>
      </c>
      <c r="C833" t="s">
        <v>187</v>
      </c>
      <c r="D833" t="s">
        <v>91</v>
      </c>
      <c r="E833" t="s">
        <v>9</v>
      </c>
      <c r="F833" t="s">
        <v>6</v>
      </c>
      <c r="G833">
        <v>205856</v>
      </c>
      <c r="H833">
        <v>41</v>
      </c>
      <c r="I833" t="s">
        <v>180</v>
      </c>
      <c r="J833" s="9">
        <v>42271</v>
      </c>
      <c r="K833" s="1">
        <v>5020.8780489999999</v>
      </c>
      <c r="L833" s="1" t="s">
        <v>166</v>
      </c>
    </row>
    <row r="834" spans="1:12" x14ac:dyDescent="0.25">
      <c r="A834" t="s">
        <v>157</v>
      </c>
      <c r="B834" t="s">
        <v>181</v>
      </c>
      <c r="C834" t="s">
        <v>141</v>
      </c>
      <c r="D834" t="s">
        <v>86</v>
      </c>
      <c r="E834" t="s">
        <v>5</v>
      </c>
      <c r="F834" t="s">
        <v>7</v>
      </c>
      <c r="G834">
        <v>93389</v>
      </c>
      <c r="H834">
        <v>28</v>
      </c>
      <c r="I834" t="s">
        <v>79</v>
      </c>
      <c r="J834" s="9">
        <v>42262</v>
      </c>
      <c r="K834" s="1">
        <v>3335.3214290000001</v>
      </c>
      <c r="L834" s="1" t="s">
        <v>167</v>
      </c>
    </row>
    <row r="835" spans="1:12" x14ac:dyDescent="0.25">
      <c r="A835" t="s">
        <v>157</v>
      </c>
      <c r="B835" t="s">
        <v>181</v>
      </c>
      <c r="C835" t="s">
        <v>141</v>
      </c>
      <c r="D835" t="s">
        <v>86</v>
      </c>
      <c r="E835" t="s">
        <v>5</v>
      </c>
      <c r="F835" t="s">
        <v>7</v>
      </c>
      <c r="G835">
        <v>160212</v>
      </c>
      <c r="H835">
        <v>21</v>
      </c>
      <c r="I835" t="s">
        <v>79</v>
      </c>
      <c r="J835" s="9">
        <v>42262</v>
      </c>
      <c r="K835" s="1">
        <v>7629.1428569999998</v>
      </c>
      <c r="L835" s="1" t="s">
        <v>165</v>
      </c>
    </row>
    <row r="836" spans="1:12" x14ac:dyDescent="0.25">
      <c r="A836" t="s">
        <v>157</v>
      </c>
      <c r="B836" t="s">
        <v>181</v>
      </c>
      <c r="C836" t="s">
        <v>141</v>
      </c>
      <c r="D836" t="s">
        <v>86</v>
      </c>
      <c r="E836" t="s">
        <v>5</v>
      </c>
      <c r="F836" t="s">
        <v>7</v>
      </c>
      <c r="G836">
        <v>125180</v>
      </c>
      <c r="H836">
        <v>16</v>
      </c>
      <c r="I836" t="s">
        <v>81</v>
      </c>
      <c r="J836" s="9">
        <v>42262</v>
      </c>
      <c r="K836" s="1">
        <v>7823.75</v>
      </c>
      <c r="L836" s="1" t="s">
        <v>165</v>
      </c>
    </row>
    <row r="837" spans="1:12" x14ac:dyDescent="0.25">
      <c r="A837" t="s">
        <v>157</v>
      </c>
      <c r="B837" t="s">
        <v>181</v>
      </c>
      <c r="C837" t="s">
        <v>184</v>
      </c>
      <c r="D837" t="s">
        <v>89</v>
      </c>
      <c r="E837" t="s">
        <v>9</v>
      </c>
      <c r="F837" t="s">
        <v>10</v>
      </c>
      <c r="G837">
        <v>145196</v>
      </c>
      <c r="H837">
        <v>30</v>
      </c>
      <c r="I837" t="s">
        <v>79</v>
      </c>
      <c r="J837" s="9">
        <v>42276</v>
      </c>
      <c r="K837" s="1">
        <v>4839.8666670000002</v>
      </c>
      <c r="L837" s="1" t="s">
        <v>165</v>
      </c>
    </row>
    <row r="838" spans="1:12" x14ac:dyDescent="0.25">
      <c r="A838" t="s">
        <v>157</v>
      </c>
      <c r="B838" t="s">
        <v>181</v>
      </c>
      <c r="C838" t="s">
        <v>188</v>
      </c>
      <c r="D838" t="s">
        <v>87</v>
      </c>
      <c r="E838" t="s">
        <v>9</v>
      </c>
      <c r="F838" t="s">
        <v>7</v>
      </c>
      <c r="G838">
        <v>58356</v>
      </c>
      <c r="H838">
        <v>16</v>
      </c>
      <c r="I838" t="s">
        <v>81</v>
      </c>
      <c r="J838" s="9">
        <v>42276</v>
      </c>
      <c r="K838" s="1">
        <v>3647.25</v>
      </c>
      <c r="L838" s="1" t="s">
        <v>167</v>
      </c>
    </row>
    <row r="839" spans="1:12" x14ac:dyDescent="0.25">
      <c r="A839" t="s">
        <v>157</v>
      </c>
      <c r="B839" t="s">
        <v>181</v>
      </c>
      <c r="C839" t="s">
        <v>118</v>
      </c>
      <c r="D839" t="s">
        <v>162</v>
      </c>
      <c r="E839" t="s">
        <v>5</v>
      </c>
      <c r="F839" t="s">
        <v>7</v>
      </c>
      <c r="G839">
        <v>197046</v>
      </c>
      <c r="H839">
        <v>28</v>
      </c>
      <c r="I839" t="s">
        <v>79</v>
      </c>
      <c r="J839" s="9">
        <v>42272</v>
      </c>
      <c r="K839" s="1">
        <v>7037.3571430000002</v>
      </c>
      <c r="L839" s="1" t="s">
        <v>165</v>
      </c>
    </row>
    <row r="840" spans="1:12" x14ac:dyDescent="0.25">
      <c r="A840" t="s">
        <v>157</v>
      </c>
      <c r="B840" t="s">
        <v>181</v>
      </c>
      <c r="C840" t="s">
        <v>189</v>
      </c>
      <c r="D840" t="s">
        <v>91</v>
      </c>
      <c r="E840" t="s">
        <v>9</v>
      </c>
      <c r="F840" t="s">
        <v>7</v>
      </c>
      <c r="G840">
        <v>80082</v>
      </c>
      <c r="H840">
        <v>19</v>
      </c>
      <c r="I840" t="s">
        <v>82</v>
      </c>
      <c r="J840" s="9">
        <v>42270</v>
      </c>
      <c r="K840" s="1">
        <v>4214.8421049999997</v>
      </c>
      <c r="L840" s="1" t="s">
        <v>167</v>
      </c>
    </row>
    <row r="841" spans="1:12" x14ac:dyDescent="0.25">
      <c r="A841" t="s">
        <v>157</v>
      </c>
      <c r="B841" t="s">
        <v>181</v>
      </c>
      <c r="C841" t="s">
        <v>15</v>
      </c>
      <c r="D841" t="s">
        <v>162</v>
      </c>
      <c r="E841" t="s">
        <v>5</v>
      </c>
      <c r="F841" t="s">
        <v>7</v>
      </c>
      <c r="G841">
        <v>152845</v>
      </c>
      <c r="H841">
        <v>17</v>
      </c>
      <c r="I841" t="s">
        <v>180</v>
      </c>
      <c r="J841" s="9">
        <v>42272</v>
      </c>
      <c r="K841" s="1">
        <v>8990.8823530000009</v>
      </c>
      <c r="L841" s="1" t="s">
        <v>165</v>
      </c>
    </row>
    <row r="842" spans="1:12" x14ac:dyDescent="0.25">
      <c r="A842" t="s">
        <v>157</v>
      </c>
      <c r="B842" t="s">
        <v>181</v>
      </c>
      <c r="C842" t="s">
        <v>182</v>
      </c>
      <c r="D842" t="s">
        <v>91</v>
      </c>
      <c r="E842" t="s">
        <v>9</v>
      </c>
      <c r="F842" t="s">
        <v>6</v>
      </c>
      <c r="G842">
        <v>191117</v>
      </c>
      <c r="H842">
        <v>33</v>
      </c>
      <c r="I842" t="s">
        <v>81</v>
      </c>
      <c r="J842" s="9">
        <v>42277</v>
      </c>
      <c r="K842" s="1">
        <v>5791.424242</v>
      </c>
      <c r="L842" s="1" t="s">
        <v>165</v>
      </c>
    </row>
    <row r="843" spans="1:12" x14ac:dyDescent="0.25">
      <c r="A843" t="s">
        <v>157</v>
      </c>
      <c r="B843" t="s">
        <v>181</v>
      </c>
      <c r="C843" t="s">
        <v>28</v>
      </c>
      <c r="D843" t="s">
        <v>88</v>
      </c>
      <c r="E843" t="s">
        <v>9</v>
      </c>
      <c r="F843" t="s">
        <v>6</v>
      </c>
      <c r="G843">
        <v>164288</v>
      </c>
      <c r="H843">
        <v>25</v>
      </c>
      <c r="I843" t="s">
        <v>79</v>
      </c>
      <c r="J843" s="9">
        <v>42277</v>
      </c>
      <c r="K843" s="1">
        <v>6571.52</v>
      </c>
      <c r="L843" s="1" t="s">
        <v>165</v>
      </c>
    </row>
    <row r="844" spans="1:12" x14ac:dyDescent="0.25">
      <c r="A844" t="s">
        <v>157</v>
      </c>
      <c r="B844" t="s">
        <v>181</v>
      </c>
      <c r="C844" t="s">
        <v>184</v>
      </c>
      <c r="D844" t="s">
        <v>86</v>
      </c>
      <c r="E844" t="s">
        <v>9</v>
      </c>
      <c r="F844" t="s">
        <v>10</v>
      </c>
      <c r="G844">
        <v>63188</v>
      </c>
      <c r="H844">
        <v>33</v>
      </c>
      <c r="I844" t="s">
        <v>79</v>
      </c>
      <c r="J844" s="9">
        <v>42270</v>
      </c>
      <c r="K844" s="1">
        <v>1914.787879</v>
      </c>
      <c r="L844" s="1" t="s">
        <v>167</v>
      </c>
    </row>
    <row r="845" spans="1:12" x14ac:dyDescent="0.25">
      <c r="A845" t="s">
        <v>157</v>
      </c>
      <c r="B845" t="s">
        <v>181</v>
      </c>
      <c r="C845" t="s">
        <v>112</v>
      </c>
      <c r="D845" t="s">
        <v>89</v>
      </c>
      <c r="E845" t="s">
        <v>9</v>
      </c>
      <c r="F845" t="s">
        <v>6</v>
      </c>
      <c r="G845">
        <v>109687</v>
      </c>
      <c r="H845">
        <v>18</v>
      </c>
      <c r="I845" t="s">
        <v>93</v>
      </c>
      <c r="J845" s="9">
        <v>42277</v>
      </c>
      <c r="K845" s="1">
        <v>6093.7222220000003</v>
      </c>
      <c r="L845" s="1" t="s">
        <v>165</v>
      </c>
    </row>
    <row r="846" spans="1:12" x14ac:dyDescent="0.25">
      <c r="A846" t="s">
        <v>157</v>
      </c>
      <c r="B846" t="s">
        <v>181</v>
      </c>
      <c r="C846" t="s">
        <v>142</v>
      </c>
      <c r="D846" t="s">
        <v>88</v>
      </c>
      <c r="E846" t="s">
        <v>9</v>
      </c>
      <c r="F846" t="s">
        <v>6</v>
      </c>
      <c r="G846">
        <v>190056</v>
      </c>
      <c r="H846">
        <v>24</v>
      </c>
      <c r="I846" t="s">
        <v>81</v>
      </c>
      <c r="J846" s="9">
        <v>42277</v>
      </c>
      <c r="K846" s="1">
        <v>7919</v>
      </c>
      <c r="L846" s="1" t="s">
        <v>165</v>
      </c>
    </row>
    <row r="847" spans="1:12" x14ac:dyDescent="0.25">
      <c r="A847" t="s">
        <v>157</v>
      </c>
      <c r="B847" t="s">
        <v>181</v>
      </c>
      <c r="C847" t="s">
        <v>183</v>
      </c>
      <c r="D847" t="s">
        <v>91</v>
      </c>
      <c r="E847" t="s">
        <v>9</v>
      </c>
      <c r="F847" t="s">
        <v>6</v>
      </c>
      <c r="G847">
        <v>114059</v>
      </c>
      <c r="H847">
        <v>42</v>
      </c>
      <c r="I847" t="s">
        <v>79</v>
      </c>
      <c r="J847" s="9">
        <v>42264</v>
      </c>
      <c r="K847" s="1">
        <v>2715.6904760000002</v>
      </c>
      <c r="L847" s="1" t="s">
        <v>165</v>
      </c>
    </row>
    <row r="848" spans="1:12" x14ac:dyDescent="0.25">
      <c r="A848" t="s">
        <v>157</v>
      </c>
      <c r="B848" t="s">
        <v>181</v>
      </c>
      <c r="C848" t="s">
        <v>183</v>
      </c>
      <c r="D848" t="s">
        <v>91</v>
      </c>
      <c r="E848" t="s">
        <v>9</v>
      </c>
      <c r="F848" t="s">
        <v>6</v>
      </c>
      <c r="G848">
        <v>94117</v>
      </c>
      <c r="H848">
        <v>34</v>
      </c>
      <c r="I848" t="s">
        <v>81</v>
      </c>
      <c r="J848" s="9">
        <v>42264</v>
      </c>
      <c r="K848" s="1">
        <v>2768.1470589999999</v>
      </c>
      <c r="L848" s="1" t="s">
        <v>167</v>
      </c>
    </row>
    <row r="849" spans="1:12" x14ac:dyDescent="0.25">
      <c r="A849" t="s">
        <v>157</v>
      </c>
      <c r="B849" t="s">
        <v>181</v>
      </c>
      <c r="C849" t="s">
        <v>53</v>
      </c>
      <c r="D849" t="s">
        <v>88</v>
      </c>
      <c r="E849" t="s">
        <v>9</v>
      </c>
      <c r="F849" t="s">
        <v>6</v>
      </c>
      <c r="G849">
        <v>193459</v>
      </c>
      <c r="H849">
        <v>30</v>
      </c>
      <c r="I849" t="s">
        <v>81</v>
      </c>
      <c r="J849" s="9">
        <v>42277</v>
      </c>
      <c r="K849" s="1">
        <v>6448.6333329999998</v>
      </c>
      <c r="L849" s="1" t="s">
        <v>165</v>
      </c>
    </row>
    <row r="850" spans="1:12" x14ac:dyDescent="0.25">
      <c r="A850" t="s">
        <v>157</v>
      </c>
      <c r="B850" t="s">
        <v>181</v>
      </c>
      <c r="C850" t="s">
        <v>4</v>
      </c>
      <c r="D850" t="s">
        <v>86</v>
      </c>
      <c r="E850" t="s">
        <v>5</v>
      </c>
      <c r="F850" t="s">
        <v>7</v>
      </c>
      <c r="G850">
        <v>198537</v>
      </c>
      <c r="H850">
        <v>25</v>
      </c>
      <c r="I850" t="s">
        <v>82</v>
      </c>
      <c r="J850" s="9">
        <v>42277</v>
      </c>
      <c r="K850" s="1">
        <v>7941.48</v>
      </c>
      <c r="L850" s="1" t="s">
        <v>165</v>
      </c>
    </row>
    <row r="851" spans="1:12" x14ac:dyDescent="0.25">
      <c r="A851" t="s">
        <v>157</v>
      </c>
      <c r="B851" t="s">
        <v>181</v>
      </c>
      <c r="C851" t="s">
        <v>183</v>
      </c>
      <c r="D851" t="s">
        <v>91</v>
      </c>
      <c r="E851" t="s">
        <v>9</v>
      </c>
      <c r="F851" t="s">
        <v>6</v>
      </c>
      <c r="G851">
        <v>97698</v>
      </c>
      <c r="H851">
        <v>15</v>
      </c>
      <c r="I851" t="s">
        <v>79</v>
      </c>
      <c r="J851" s="9">
        <v>42264</v>
      </c>
      <c r="K851" s="1">
        <v>6513.2</v>
      </c>
      <c r="L851" s="1" t="s">
        <v>167</v>
      </c>
    </row>
    <row r="852" spans="1:12" x14ac:dyDescent="0.25">
      <c r="A852" t="s">
        <v>157</v>
      </c>
      <c r="B852" t="s">
        <v>181</v>
      </c>
      <c r="C852" t="s">
        <v>67</v>
      </c>
      <c r="D852" t="s">
        <v>91</v>
      </c>
      <c r="E852" t="s">
        <v>9</v>
      </c>
      <c r="F852" t="s">
        <v>6</v>
      </c>
      <c r="G852">
        <v>113698</v>
      </c>
      <c r="H852">
        <v>24</v>
      </c>
      <c r="I852" t="s">
        <v>180</v>
      </c>
      <c r="J852" s="9">
        <v>42277</v>
      </c>
      <c r="K852" s="1">
        <v>4737.4166670000004</v>
      </c>
      <c r="L852" s="1" t="s">
        <v>165</v>
      </c>
    </row>
    <row r="853" spans="1:12" x14ac:dyDescent="0.25">
      <c r="A853" t="s">
        <v>157</v>
      </c>
      <c r="B853" t="s">
        <v>181</v>
      </c>
      <c r="C853" t="s">
        <v>129</v>
      </c>
      <c r="D853" t="s">
        <v>89</v>
      </c>
      <c r="E853" t="s">
        <v>9</v>
      </c>
      <c r="F853" t="s">
        <v>6</v>
      </c>
      <c r="G853">
        <v>71482</v>
      </c>
      <c r="H853">
        <v>36</v>
      </c>
      <c r="I853" t="s">
        <v>93</v>
      </c>
      <c r="J853" s="9">
        <v>42277</v>
      </c>
      <c r="K853" s="1">
        <v>1985.6111109999999</v>
      </c>
      <c r="L853" s="1" t="s">
        <v>167</v>
      </c>
    </row>
    <row r="854" spans="1:12" x14ac:dyDescent="0.25">
      <c r="A854" t="s">
        <v>157</v>
      </c>
      <c r="B854" t="s">
        <v>181</v>
      </c>
      <c r="C854" t="s">
        <v>53</v>
      </c>
      <c r="D854" t="s">
        <v>87</v>
      </c>
      <c r="E854" t="s">
        <v>9</v>
      </c>
      <c r="F854" t="s">
        <v>6</v>
      </c>
      <c r="G854">
        <v>245579</v>
      </c>
      <c r="H854">
        <v>32</v>
      </c>
      <c r="I854" t="s">
        <v>79</v>
      </c>
      <c r="J854" s="9">
        <v>42263</v>
      </c>
      <c r="K854" s="1">
        <v>7674.34375</v>
      </c>
      <c r="L854" s="1" t="s">
        <v>166</v>
      </c>
    </row>
    <row r="855" spans="1:12" x14ac:dyDescent="0.25">
      <c r="A855" t="s">
        <v>157</v>
      </c>
      <c r="B855" t="s">
        <v>181</v>
      </c>
      <c r="C855" t="s">
        <v>123</v>
      </c>
      <c r="D855" t="s">
        <v>91</v>
      </c>
      <c r="E855" t="s">
        <v>9</v>
      </c>
      <c r="F855" t="s">
        <v>6</v>
      </c>
      <c r="G855">
        <v>226790</v>
      </c>
      <c r="H855">
        <v>27</v>
      </c>
      <c r="I855" t="s">
        <v>79</v>
      </c>
      <c r="J855" s="9">
        <v>42248</v>
      </c>
      <c r="K855" s="1">
        <v>8399.6296299999995</v>
      </c>
      <c r="L855" s="1" t="s">
        <v>166</v>
      </c>
    </row>
    <row r="856" spans="1:12" x14ac:dyDescent="0.25">
      <c r="A856" t="s">
        <v>157</v>
      </c>
      <c r="B856" t="s">
        <v>181</v>
      </c>
      <c r="C856" t="s">
        <v>15</v>
      </c>
      <c r="D856" t="s">
        <v>162</v>
      </c>
      <c r="E856" t="s">
        <v>5</v>
      </c>
      <c r="F856" t="s">
        <v>7</v>
      </c>
      <c r="G856">
        <v>209688</v>
      </c>
      <c r="H856">
        <v>29</v>
      </c>
      <c r="I856" t="s">
        <v>79</v>
      </c>
      <c r="J856" s="9">
        <v>42272</v>
      </c>
      <c r="K856" s="1">
        <v>7230.6206899999997</v>
      </c>
      <c r="L856" s="1" t="s">
        <v>166</v>
      </c>
    </row>
    <row r="857" spans="1:12" x14ac:dyDescent="0.25">
      <c r="A857" t="s">
        <v>157</v>
      </c>
      <c r="B857" t="s">
        <v>181</v>
      </c>
      <c r="C857" t="s">
        <v>4</v>
      </c>
      <c r="D857" t="s">
        <v>163</v>
      </c>
      <c r="E857" t="s">
        <v>5</v>
      </c>
      <c r="F857" t="s">
        <v>7</v>
      </c>
      <c r="G857">
        <v>91011</v>
      </c>
      <c r="H857">
        <v>29</v>
      </c>
      <c r="I857" t="s">
        <v>79</v>
      </c>
      <c r="J857" s="9">
        <v>42277</v>
      </c>
      <c r="K857" s="1">
        <v>3138.3103449999999</v>
      </c>
      <c r="L857" s="1" t="s">
        <v>167</v>
      </c>
    </row>
    <row r="858" spans="1:12" x14ac:dyDescent="0.25">
      <c r="A858" t="s">
        <v>157</v>
      </c>
      <c r="B858" t="s">
        <v>181</v>
      </c>
      <c r="C858" t="s">
        <v>16</v>
      </c>
      <c r="D858" t="s">
        <v>162</v>
      </c>
      <c r="E858" t="s">
        <v>5</v>
      </c>
      <c r="F858" t="s">
        <v>7</v>
      </c>
      <c r="G858">
        <v>81190</v>
      </c>
      <c r="H858">
        <v>21</v>
      </c>
      <c r="I858" t="s">
        <v>81</v>
      </c>
      <c r="J858" s="9">
        <v>42277</v>
      </c>
      <c r="K858" s="1">
        <v>3866.1904760000002</v>
      </c>
      <c r="L858" s="1" t="s">
        <v>167</v>
      </c>
    </row>
    <row r="859" spans="1:12" x14ac:dyDescent="0.25">
      <c r="A859" t="s">
        <v>157</v>
      </c>
      <c r="B859" t="s">
        <v>181</v>
      </c>
      <c r="C859" t="s">
        <v>142</v>
      </c>
      <c r="D859" t="s">
        <v>88</v>
      </c>
      <c r="E859" t="s">
        <v>9</v>
      </c>
      <c r="F859" t="s">
        <v>6</v>
      </c>
      <c r="G859">
        <v>138161</v>
      </c>
      <c r="H859">
        <v>28</v>
      </c>
      <c r="I859" t="s">
        <v>79</v>
      </c>
      <c r="J859" s="9">
        <v>42263</v>
      </c>
      <c r="K859" s="1">
        <v>4934.3214289999996</v>
      </c>
      <c r="L859" s="1" t="s">
        <v>165</v>
      </c>
    </row>
    <row r="860" spans="1:12" x14ac:dyDescent="0.25">
      <c r="A860" t="s">
        <v>157</v>
      </c>
      <c r="B860" t="s">
        <v>181</v>
      </c>
      <c r="C860" t="s">
        <v>135</v>
      </c>
      <c r="D860" t="s">
        <v>87</v>
      </c>
      <c r="E860" t="s">
        <v>9</v>
      </c>
      <c r="F860" t="s">
        <v>7</v>
      </c>
      <c r="G860">
        <v>201236</v>
      </c>
      <c r="H860">
        <v>35</v>
      </c>
      <c r="I860" t="s">
        <v>180</v>
      </c>
      <c r="J860" s="9">
        <v>42277</v>
      </c>
      <c r="K860" s="1">
        <v>5749.6</v>
      </c>
      <c r="L860" s="1" t="s">
        <v>166</v>
      </c>
    </row>
    <row r="861" spans="1:12" x14ac:dyDescent="0.25">
      <c r="A861" t="s">
        <v>157</v>
      </c>
      <c r="B861" t="s">
        <v>181</v>
      </c>
      <c r="C861" t="s">
        <v>24</v>
      </c>
      <c r="D861" t="s">
        <v>162</v>
      </c>
      <c r="E861" t="s">
        <v>5</v>
      </c>
      <c r="F861" t="s">
        <v>6</v>
      </c>
      <c r="G861">
        <v>103222</v>
      </c>
      <c r="H861">
        <v>22</v>
      </c>
      <c r="I861" t="s">
        <v>93</v>
      </c>
      <c r="J861" s="9">
        <v>42275</v>
      </c>
      <c r="K861" s="1">
        <v>4691.9090910000004</v>
      </c>
      <c r="L861" s="1" t="s">
        <v>165</v>
      </c>
    </row>
    <row r="862" spans="1:12" x14ac:dyDescent="0.25">
      <c r="A862" t="s">
        <v>157</v>
      </c>
      <c r="B862" t="s">
        <v>181</v>
      </c>
      <c r="C862" t="s">
        <v>53</v>
      </c>
      <c r="D862" t="s">
        <v>87</v>
      </c>
      <c r="E862" t="s">
        <v>9</v>
      </c>
      <c r="F862" t="s">
        <v>6</v>
      </c>
      <c r="G862">
        <v>145586</v>
      </c>
      <c r="H862">
        <v>38</v>
      </c>
      <c r="I862" t="s">
        <v>180</v>
      </c>
      <c r="J862" s="9">
        <v>42263</v>
      </c>
      <c r="K862" s="1">
        <v>3831.2105259999998</v>
      </c>
      <c r="L862" s="1" t="s">
        <v>165</v>
      </c>
    </row>
    <row r="863" spans="1:12" x14ac:dyDescent="0.25">
      <c r="A863" t="s">
        <v>157</v>
      </c>
      <c r="B863" t="s">
        <v>181</v>
      </c>
      <c r="C863" t="s">
        <v>123</v>
      </c>
      <c r="D863" t="s">
        <v>91</v>
      </c>
      <c r="E863" t="s">
        <v>9</v>
      </c>
      <c r="F863" t="s">
        <v>6</v>
      </c>
      <c r="G863">
        <v>201274</v>
      </c>
      <c r="H863">
        <v>31</v>
      </c>
      <c r="I863" t="s">
        <v>81</v>
      </c>
      <c r="J863" s="9">
        <v>42248</v>
      </c>
      <c r="K863" s="1">
        <v>6492.7096769999998</v>
      </c>
      <c r="L863" s="1" t="s">
        <v>166</v>
      </c>
    </row>
    <row r="864" spans="1:12" x14ac:dyDescent="0.25">
      <c r="A864" t="s">
        <v>157</v>
      </c>
      <c r="B864" t="s">
        <v>181</v>
      </c>
      <c r="C864" t="s">
        <v>183</v>
      </c>
      <c r="D864" t="s">
        <v>91</v>
      </c>
      <c r="E864" t="s">
        <v>9</v>
      </c>
      <c r="F864" t="s">
        <v>6</v>
      </c>
      <c r="G864">
        <v>86028</v>
      </c>
      <c r="H864">
        <v>23</v>
      </c>
      <c r="I864" t="s">
        <v>79</v>
      </c>
      <c r="J864" s="9">
        <v>42264</v>
      </c>
      <c r="K864" s="1">
        <v>3740.3478260000002</v>
      </c>
      <c r="L864" s="1" t="s">
        <v>167</v>
      </c>
    </row>
    <row r="865" spans="1:12" x14ac:dyDescent="0.25">
      <c r="A865" t="s">
        <v>157</v>
      </c>
      <c r="B865" t="s">
        <v>181</v>
      </c>
      <c r="C865" t="s">
        <v>183</v>
      </c>
      <c r="D865" t="s">
        <v>91</v>
      </c>
      <c r="E865" t="s">
        <v>9</v>
      </c>
      <c r="F865" t="s">
        <v>6</v>
      </c>
      <c r="G865">
        <v>229548</v>
      </c>
      <c r="H865">
        <v>36</v>
      </c>
      <c r="I865" t="s">
        <v>79</v>
      </c>
      <c r="J865" s="9">
        <v>42264</v>
      </c>
      <c r="K865" s="1">
        <v>6376.3333329999996</v>
      </c>
      <c r="L865" s="1" t="s">
        <v>166</v>
      </c>
    </row>
    <row r="866" spans="1:12" x14ac:dyDescent="0.25">
      <c r="A866" t="s">
        <v>157</v>
      </c>
      <c r="B866" t="s">
        <v>181</v>
      </c>
      <c r="C866" t="s">
        <v>16</v>
      </c>
      <c r="D866" t="s">
        <v>162</v>
      </c>
      <c r="E866" t="s">
        <v>5</v>
      </c>
      <c r="F866" t="s">
        <v>7</v>
      </c>
      <c r="G866">
        <v>80726</v>
      </c>
      <c r="H866">
        <v>38</v>
      </c>
      <c r="I866" t="s">
        <v>79</v>
      </c>
      <c r="J866" s="9">
        <v>42277</v>
      </c>
      <c r="K866" s="1">
        <v>2124.3684210000001</v>
      </c>
      <c r="L866" s="1" t="s">
        <v>167</v>
      </c>
    </row>
    <row r="867" spans="1:12" x14ac:dyDescent="0.25">
      <c r="A867" t="s">
        <v>157</v>
      </c>
      <c r="B867" t="s">
        <v>181</v>
      </c>
      <c r="C867" t="s">
        <v>141</v>
      </c>
      <c r="D867" t="s">
        <v>86</v>
      </c>
      <c r="E867" t="s">
        <v>5</v>
      </c>
      <c r="F867" t="s">
        <v>7</v>
      </c>
      <c r="G867">
        <v>111874</v>
      </c>
      <c r="H867">
        <v>18</v>
      </c>
      <c r="I867" t="s">
        <v>79</v>
      </c>
      <c r="J867" s="9">
        <v>42262</v>
      </c>
      <c r="K867" s="1">
        <v>6215.2222220000003</v>
      </c>
      <c r="L867" s="1" t="s">
        <v>165</v>
      </c>
    </row>
    <row r="868" spans="1:12" x14ac:dyDescent="0.25">
      <c r="A868" t="s">
        <v>157</v>
      </c>
      <c r="B868" t="s">
        <v>181</v>
      </c>
      <c r="C868" t="s">
        <v>141</v>
      </c>
      <c r="D868" t="s">
        <v>86</v>
      </c>
      <c r="E868" t="s">
        <v>5</v>
      </c>
      <c r="F868" t="s">
        <v>7</v>
      </c>
      <c r="G868">
        <v>68209</v>
      </c>
      <c r="H868">
        <v>17</v>
      </c>
      <c r="I868" t="s">
        <v>81</v>
      </c>
      <c r="J868" s="9">
        <v>42262</v>
      </c>
      <c r="K868" s="1">
        <v>4012.2941179999998</v>
      </c>
      <c r="L868" s="1" t="s">
        <v>167</v>
      </c>
    </row>
    <row r="869" spans="1:12" x14ac:dyDescent="0.25">
      <c r="A869" t="s">
        <v>157</v>
      </c>
      <c r="B869" t="s">
        <v>181</v>
      </c>
      <c r="C869" t="s">
        <v>13</v>
      </c>
      <c r="D869" t="s">
        <v>89</v>
      </c>
      <c r="E869" t="s">
        <v>9</v>
      </c>
      <c r="F869" t="s">
        <v>6</v>
      </c>
      <c r="G869">
        <v>122294</v>
      </c>
      <c r="H869">
        <v>24</v>
      </c>
      <c r="I869" t="s">
        <v>81</v>
      </c>
      <c r="J869" s="9">
        <v>42277</v>
      </c>
      <c r="K869" s="1">
        <v>5095.5833329999996</v>
      </c>
      <c r="L869" s="1" t="s">
        <v>165</v>
      </c>
    </row>
    <row r="870" spans="1:12" x14ac:dyDescent="0.25">
      <c r="A870" t="s">
        <v>157</v>
      </c>
      <c r="B870" t="s">
        <v>181</v>
      </c>
      <c r="C870" t="s">
        <v>129</v>
      </c>
      <c r="D870" t="s">
        <v>89</v>
      </c>
      <c r="E870" t="s">
        <v>9</v>
      </c>
      <c r="F870" t="s">
        <v>6</v>
      </c>
      <c r="G870">
        <v>100516</v>
      </c>
      <c r="H870">
        <v>31</v>
      </c>
      <c r="I870" t="s">
        <v>93</v>
      </c>
      <c r="J870" s="9">
        <v>42277</v>
      </c>
      <c r="K870" s="1">
        <v>3242.4516130000002</v>
      </c>
      <c r="L870" s="1" t="s">
        <v>165</v>
      </c>
    </row>
    <row r="871" spans="1:12" x14ac:dyDescent="0.25">
      <c r="A871" t="s">
        <v>157</v>
      </c>
      <c r="B871" t="s">
        <v>181</v>
      </c>
      <c r="C871" t="s">
        <v>36</v>
      </c>
      <c r="D871" t="s">
        <v>87</v>
      </c>
      <c r="E871" t="s">
        <v>9</v>
      </c>
      <c r="F871" t="s">
        <v>6</v>
      </c>
      <c r="G871">
        <v>167858</v>
      </c>
      <c r="H871">
        <v>31</v>
      </c>
      <c r="I871" t="s">
        <v>93</v>
      </c>
      <c r="J871" s="9">
        <v>42277</v>
      </c>
      <c r="K871" s="1">
        <v>5414.7741939999996</v>
      </c>
      <c r="L871" s="1" t="s">
        <v>165</v>
      </c>
    </row>
    <row r="872" spans="1:12" x14ac:dyDescent="0.25">
      <c r="A872" t="s">
        <v>157</v>
      </c>
      <c r="B872" t="s">
        <v>181</v>
      </c>
      <c r="C872" t="s">
        <v>53</v>
      </c>
      <c r="D872" t="s">
        <v>87</v>
      </c>
      <c r="E872" t="s">
        <v>9</v>
      </c>
      <c r="F872" t="s">
        <v>6</v>
      </c>
      <c r="G872">
        <v>230870</v>
      </c>
      <c r="H872">
        <v>33</v>
      </c>
      <c r="I872" t="s">
        <v>81</v>
      </c>
      <c r="J872" s="9">
        <v>42263</v>
      </c>
      <c r="K872" s="1">
        <v>6996.060606</v>
      </c>
      <c r="L872" s="1" t="s">
        <v>166</v>
      </c>
    </row>
    <row r="873" spans="1:12" x14ac:dyDescent="0.25">
      <c r="A873" t="s">
        <v>157</v>
      </c>
      <c r="B873" t="s">
        <v>181</v>
      </c>
      <c r="C873" t="s">
        <v>141</v>
      </c>
      <c r="D873" t="s">
        <v>86</v>
      </c>
      <c r="E873" t="s">
        <v>5</v>
      </c>
      <c r="F873" t="s">
        <v>7</v>
      </c>
      <c r="G873">
        <v>94014</v>
      </c>
      <c r="H873">
        <v>40</v>
      </c>
      <c r="I873" t="s">
        <v>82</v>
      </c>
      <c r="J873" s="9">
        <v>42262</v>
      </c>
      <c r="K873" s="1">
        <v>2350.35</v>
      </c>
      <c r="L873" s="1" t="s">
        <v>167</v>
      </c>
    </row>
    <row r="874" spans="1:12" x14ac:dyDescent="0.25">
      <c r="A874" t="s">
        <v>157</v>
      </c>
      <c r="B874" t="s">
        <v>181</v>
      </c>
      <c r="C874" t="s">
        <v>141</v>
      </c>
      <c r="D874" t="s">
        <v>86</v>
      </c>
      <c r="E874" t="s">
        <v>5</v>
      </c>
      <c r="F874" t="s">
        <v>7</v>
      </c>
      <c r="G874">
        <v>117686</v>
      </c>
      <c r="H874">
        <v>30</v>
      </c>
      <c r="I874" t="s">
        <v>81</v>
      </c>
      <c r="J874" s="9">
        <v>42262</v>
      </c>
      <c r="K874" s="1">
        <v>3922.8666669999998</v>
      </c>
      <c r="L874" s="1" t="s">
        <v>165</v>
      </c>
    </row>
    <row r="875" spans="1:12" x14ac:dyDescent="0.25">
      <c r="A875" t="s">
        <v>157</v>
      </c>
      <c r="B875" t="s">
        <v>181</v>
      </c>
      <c r="C875" t="s">
        <v>184</v>
      </c>
      <c r="D875" t="s">
        <v>86</v>
      </c>
      <c r="E875" t="s">
        <v>9</v>
      </c>
      <c r="F875" t="s">
        <v>10</v>
      </c>
      <c r="G875">
        <v>233373</v>
      </c>
      <c r="H875">
        <v>27</v>
      </c>
      <c r="I875" t="s">
        <v>81</v>
      </c>
      <c r="J875" s="9">
        <v>42270</v>
      </c>
      <c r="K875" s="1">
        <v>8643.4444440000007</v>
      </c>
      <c r="L875" s="1" t="s">
        <v>166</v>
      </c>
    </row>
    <row r="876" spans="1:12" x14ac:dyDescent="0.25">
      <c r="A876" t="s">
        <v>151</v>
      </c>
      <c r="B876" t="s">
        <v>181</v>
      </c>
      <c r="C876" t="s">
        <v>188</v>
      </c>
      <c r="D876" t="s">
        <v>88</v>
      </c>
      <c r="E876" t="s">
        <v>9</v>
      </c>
      <c r="F876" t="s">
        <v>6</v>
      </c>
      <c r="G876">
        <v>186381</v>
      </c>
      <c r="H876">
        <v>30</v>
      </c>
      <c r="I876" t="s">
        <v>180</v>
      </c>
      <c r="J876" s="9">
        <v>42256</v>
      </c>
      <c r="K876" s="1">
        <v>6212.7</v>
      </c>
      <c r="L876" s="1" t="s">
        <v>165</v>
      </c>
    </row>
    <row r="877" spans="1:12" x14ac:dyDescent="0.25">
      <c r="A877" t="s">
        <v>151</v>
      </c>
      <c r="B877" t="s">
        <v>181</v>
      </c>
      <c r="C877" t="s">
        <v>188</v>
      </c>
      <c r="D877" t="s">
        <v>88</v>
      </c>
      <c r="E877" t="s">
        <v>9</v>
      </c>
      <c r="F877" t="s">
        <v>7</v>
      </c>
      <c r="G877">
        <v>224371</v>
      </c>
      <c r="H877">
        <v>31</v>
      </c>
      <c r="I877" t="s">
        <v>180</v>
      </c>
      <c r="J877" s="9">
        <v>42277</v>
      </c>
      <c r="K877" s="1">
        <v>7237.7741939999996</v>
      </c>
      <c r="L877" s="1" t="s">
        <v>166</v>
      </c>
    </row>
    <row r="878" spans="1:12" x14ac:dyDescent="0.25">
      <c r="A878" t="s">
        <v>151</v>
      </c>
      <c r="B878" t="s">
        <v>181</v>
      </c>
      <c r="C878" t="s">
        <v>118</v>
      </c>
      <c r="D878" t="s">
        <v>162</v>
      </c>
      <c r="E878" t="s">
        <v>5</v>
      </c>
      <c r="F878" t="s">
        <v>7</v>
      </c>
      <c r="G878">
        <v>122115</v>
      </c>
      <c r="H878">
        <v>26</v>
      </c>
      <c r="I878" t="s">
        <v>79</v>
      </c>
      <c r="J878" s="9">
        <v>42272</v>
      </c>
      <c r="K878" s="1">
        <v>4696.7307689999998</v>
      </c>
      <c r="L878" s="1" t="s">
        <v>165</v>
      </c>
    </row>
    <row r="879" spans="1:12" x14ac:dyDescent="0.25">
      <c r="A879" t="s">
        <v>151</v>
      </c>
      <c r="B879" t="s">
        <v>181</v>
      </c>
      <c r="C879" t="s">
        <v>35</v>
      </c>
      <c r="D879" t="s">
        <v>87</v>
      </c>
      <c r="E879" t="s">
        <v>9</v>
      </c>
      <c r="F879" t="s">
        <v>6</v>
      </c>
      <c r="G879">
        <v>60955</v>
      </c>
      <c r="H879">
        <v>36</v>
      </c>
      <c r="I879" t="s">
        <v>81</v>
      </c>
      <c r="J879" s="9">
        <v>42277</v>
      </c>
      <c r="K879" s="1">
        <v>1693.194444</v>
      </c>
      <c r="L879" s="1" t="s">
        <v>167</v>
      </c>
    </row>
    <row r="880" spans="1:12" x14ac:dyDescent="0.25">
      <c r="A880" t="s">
        <v>151</v>
      </c>
      <c r="B880" t="s">
        <v>181</v>
      </c>
      <c r="C880" t="s">
        <v>123</v>
      </c>
      <c r="D880" t="s">
        <v>91</v>
      </c>
      <c r="E880" t="s">
        <v>9</v>
      </c>
      <c r="F880" t="s">
        <v>6</v>
      </c>
      <c r="G880">
        <v>151611</v>
      </c>
      <c r="H880">
        <v>37</v>
      </c>
      <c r="I880" t="s">
        <v>180</v>
      </c>
      <c r="J880" s="9">
        <v>42248</v>
      </c>
      <c r="K880" s="1">
        <v>4097.5945949999996</v>
      </c>
      <c r="L880" s="1" t="s">
        <v>165</v>
      </c>
    </row>
    <row r="881" spans="1:12" x14ac:dyDescent="0.25">
      <c r="A881" t="s">
        <v>151</v>
      </c>
      <c r="B881" t="s">
        <v>181</v>
      </c>
      <c r="C881" t="s">
        <v>123</v>
      </c>
      <c r="D881" t="s">
        <v>91</v>
      </c>
      <c r="E881" t="s">
        <v>9</v>
      </c>
      <c r="F881" t="s">
        <v>6</v>
      </c>
      <c r="G881">
        <v>202204</v>
      </c>
      <c r="H881">
        <v>19</v>
      </c>
      <c r="I881" t="s">
        <v>81</v>
      </c>
      <c r="J881" s="9">
        <v>42248</v>
      </c>
      <c r="K881" s="1">
        <v>10642.315790000001</v>
      </c>
      <c r="L881" s="1" t="s">
        <v>166</v>
      </c>
    </row>
    <row r="882" spans="1:12" x14ac:dyDescent="0.25">
      <c r="A882" t="s">
        <v>151</v>
      </c>
      <c r="B882" t="s">
        <v>181</v>
      </c>
      <c r="C882" t="s">
        <v>15</v>
      </c>
      <c r="D882" t="s">
        <v>162</v>
      </c>
      <c r="E882" t="s">
        <v>5</v>
      </c>
      <c r="F882" t="s">
        <v>7</v>
      </c>
      <c r="G882">
        <v>60866</v>
      </c>
      <c r="H882">
        <v>34</v>
      </c>
      <c r="I882" t="s">
        <v>82</v>
      </c>
      <c r="J882" s="9">
        <v>42272</v>
      </c>
      <c r="K882" s="1">
        <v>1790.176471</v>
      </c>
      <c r="L882" s="1" t="s">
        <v>167</v>
      </c>
    </row>
    <row r="883" spans="1:12" x14ac:dyDescent="0.25">
      <c r="A883" t="s">
        <v>151</v>
      </c>
      <c r="B883" t="s">
        <v>181</v>
      </c>
      <c r="C883" t="s">
        <v>126</v>
      </c>
      <c r="D883" t="s">
        <v>89</v>
      </c>
      <c r="E883" t="s">
        <v>9</v>
      </c>
      <c r="F883" t="s">
        <v>6</v>
      </c>
      <c r="G883">
        <v>164202</v>
      </c>
      <c r="H883">
        <v>15</v>
      </c>
      <c r="I883" t="s">
        <v>93</v>
      </c>
      <c r="J883" s="9">
        <v>42277</v>
      </c>
      <c r="K883" s="1">
        <v>10946.8</v>
      </c>
      <c r="L883" s="1" t="s">
        <v>165</v>
      </c>
    </row>
    <row r="884" spans="1:12" x14ac:dyDescent="0.25">
      <c r="A884" t="s">
        <v>151</v>
      </c>
      <c r="B884" t="s">
        <v>181</v>
      </c>
      <c r="C884" t="s">
        <v>127</v>
      </c>
      <c r="D884" t="s">
        <v>87</v>
      </c>
      <c r="E884" t="s">
        <v>9</v>
      </c>
      <c r="F884" t="s">
        <v>6</v>
      </c>
      <c r="G884">
        <v>88652</v>
      </c>
      <c r="H884">
        <v>36</v>
      </c>
      <c r="I884" t="s">
        <v>81</v>
      </c>
      <c r="J884" s="9">
        <v>42272</v>
      </c>
      <c r="K884" s="1">
        <v>2462.5555559999998</v>
      </c>
      <c r="L884" s="1" t="s">
        <v>167</v>
      </c>
    </row>
    <row r="885" spans="1:12" x14ac:dyDescent="0.25">
      <c r="A885" t="s">
        <v>151</v>
      </c>
      <c r="B885" t="s">
        <v>181</v>
      </c>
      <c r="C885" t="s">
        <v>53</v>
      </c>
      <c r="D885" t="s">
        <v>87</v>
      </c>
      <c r="E885" t="s">
        <v>9</v>
      </c>
      <c r="F885" t="s">
        <v>6</v>
      </c>
      <c r="G885">
        <v>110701</v>
      </c>
      <c r="H885">
        <v>42</v>
      </c>
      <c r="I885" t="s">
        <v>79</v>
      </c>
      <c r="J885" s="9">
        <v>42263</v>
      </c>
      <c r="K885" s="1">
        <v>2635.7380950000002</v>
      </c>
      <c r="L885" s="1" t="s">
        <v>165</v>
      </c>
    </row>
    <row r="886" spans="1:12" x14ac:dyDescent="0.25">
      <c r="A886" t="s">
        <v>151</v>
      </c>
      <c r="B886" t="s">
        <v>181</v>
      </c>
      <c r="C886" t="s">
        <v>4</v>
      </c>
      <c r="D886" t="s">
        <v>88</v>
      </c>
      <c r="E886" t="s">
        <v>9</v>
      </c>
      <c r="F886" t="s">
        <v>6</v>
      </c>
      <c r="G886">
        <v>234270</v>
      </c>
      <c r="H886">
        <v>18</v>
      </c>
      <c r="I886" t="s">
        <v>79</v>
      </c>
      <c r="J886" s="9">
        <v>42277</v>
      </c>
      <c r="K886" s="1">
        <v>13015</v>
      </c>
      <c r="L886" s="1" t="s">
        <v>166</v>
      </c>
    </row>
    <row r="887" spans="1:12" x14ac:dyDescent="0.25">
      <c r="A887" t="s">
        <v>151</v>
      </c>
      <c r="B887" t="s">
        <v>181</v>
      </c>
      <c r="C887" t="s">
        <v>4</v>
      </c>
      <c r="D887" t="s">
        <v>88</v>
      </c>
      <c r="E887" t="s">
        <v>9</v>
      </c>
      <c r="F887" t="s">
        <v>6</v>
      </c>
      <c r="G887">
        <v>214990</v>
      </c>
      <c r="H887">
        <v>16</v>
      </c>
      <c r="I887" t="s">
        <v>81</v>
      </c>
      <c r="J887" s="9">
        <v>42277</v>
      </c>
      <c r="K887" s="1">
        <v>13436.875</v>
      </c>
      <c r="L887" s="1" t="s">
        <v>166</v>
      </c>
    </row>
    <row r="888" spans="1:12" x14ac:dyDescent="0.25">
      <c r="A888" t="s">
        <v>151</v>
      </c>
      <c r="B888" t="s">
        <v>181</v>
      </c>
      <c r="C888" t="s">
        <v>183</v>
      </c>
      <c r="D888" t="s">
        <v>91</v>
      </c>
      <c r="E888" t="s">
        <v>9</v>
      </c>
      <c r="F888" t="s">
        <v>6</v>
      </c>
      <c r="G888">
        <v>123954</v>
      </c>
      <c r="H888">
        <v>29</v>
      </c>
      <c r="I888" t="s">
        <v>79</v>
      </c>
      <c r="J888" s="9">
        <v>42264</v>
      </c>
      <c r="K888" s="1">
        <v>4274.2758620000004</v>
      </c>
      <c r="L888" s="1" t="s">
        <v>165</v>
      </c>
    </row>
    <row r="889" spans="1:12" x14ac:dyDescent="0.25">
      <c r="A889" t="s">
        <v>151</v>
      </c>
      <c r="B889" t="s">
        <v>181</v>
      </c>
      <c r="C889" t="s">
        <v>183</v>
      </c>
      <c r="D889" t="s">
        <v>91</v>
      </c>
      <c r="E889" t="s">
        <v>9</v>
      </c>
      <c r="F889" t="s">
        <v>6</v>
      </c>
      <c r="G889">
        <v>220017</v>
      </c>
      <c r="H889">
        <v>29</v>
      </c>
      <c r="I889" t="s">
        <v>81</v>
      </c>
      <c r="J889" s="9">
        <v>42264</v>
      </c>
      <c r="K889" s="1">
        <v>7586.793103</v>
      </c>
      <c r="L889" s="1" t="s">
        <v>166</v>
      </c>
    </row>
    <row r="890" spans="1:12" x14ac:dyDescent="0.25">
      <c r="A890" t="s">
        <v>151</v>
      </c>
      <c r="B890" t="s">
        <v>181</v>
      </c>
      <c r="C890" t="s">
        <v>15</v>
      </c>
      <c r="D890" t="s">
        <v>162</v>
      </c>
      <c r="E890" t="s">
        <v>5</v>
      </c>
      <c r="F890" t="s">
        <v>7</v>
      </c>
      <c r="G890">
        <v>236382</v>
      </c>
      <c r="H890">
        <v>18</v>
      </c>
      <c r="I890" t="s">
        <v>81</v>
      </c>
      <c r="J890" s="9">
        <v>42272</v>
      </c>
      <c r="K890" s="1">
        <v>13132.333329999999</v>
      </c>
      <c r="L890" s="1" t="s">
        <v>166</v>
      </c>
    </row>
    <row r="891" spans="1:12" x14ac:dyDescent="0.25">
      <c r="A891" t="s">
        <v>151</v>
      </c>
      <c r="B891" t="s">
        <v>181</v>
      </c>
      <c r="C891" t="s">
        <v>182</v>
      </c>
      <c r="D891" t="s">
        <v>91</v>
      </c>
      <c r="E891" t="s">
        <v>9</v>
      </c>
      <c r="F891" t="s">
        <v>6</v>
      </c>
      <c r="G891">
        <v>186013</v>
      </c>
      <c r="H891">
        <v>36</v>
      </c>
      <c r="I891" t="s">
        <v>79</v>
      </c>
      <c r="J891" s="9">
        <v>42277</v>
      </c>
      <c r="K891" s="1">
        <v>5167.0277779999997</v>
      </c>
      <c r="L891" s="1" t="s">
        <v>165</v>
      </c>
    </row>
    <row r="892" spans="1:12" x14ac:dyDescent="0.25">
      <c r="A892" t="s">
        <v>151</v>
      </c>
      <c r="B892" t="s">
        <v>181</v>
      </c>
      <c r="C892" t="s">
        <v>70</v>
      </c>
      <c r="D892" t="s">
        <v>88</v>
      </c>
      <c r="E892" t="s">
        <v>9</v>
      </c>
      <c r="F892" t="s">
        <v>6</v>
      </c>
      <c r="G892">
        <v>215494</v>
      </c>
      <c r="H892">
        <v>31</v>
      </c>
      <c r="I892" t="s">
        <v>81</v>
      </c>
      <c r="J892" s="9">
        <v>42277</v>
      </c>
      <c r="K892" s="1">
        <v>6951.419355</v>
      </c>
      <c r="L892" s="1" t="s">
        <v>166</v>
      </c>
    </row>
    <row r="893" spans="1:12" x14ac:dyDescent="0.25">
      <c r="A893" t="s">
        <v>151</v>
      </c>
      <c r="B893" t="s">
        <v>181</v>
      </c>
      <c r="C893" t="s">
        <v>187</v>
      </c>
      <c r="D893" t="s">
        <v>86</v>
      </c>
      <c r="E893" t="s">
        <v>5</v>
      </c>
      <c r="F893" t="s">
        <v>7</v>
      </c>
      <c r="G893">
        <v>237620</v>
      </c>
      <c r="H893">
        <v>35</v>
      </c>
      <c r="I893" t="s">
        <v>82</v>
      </c>
      <c r="J893" s="9">
        <v>42277</v>
      </c>
      <c r="K893" s="1">
        <v>6789.1428569999998</v>
      </c>
      <c r="L893" s="1" t="s">
        <v>166</v>
      </c>
    </row>
    <row r="894" spans="1:12" x14ac:dyDescent="0.25">
      <c r="A894" t="s">
        <v>151</v>
      </c>
      <c r="B894" t="s">
        <v>181</v>
      </c>
      <c r="C894" t="s">
        <v>122</v>
      </c>
      <c r="D894" t="s">
        <v>162</v>
      </c>
      <c r="E894" t="s">
        <v>5</v>
      </c>
      <c r="F894" t="s">
        <v>6</v>
      </c>
      <c r="G894">
        <v>119452</v>
      </c>
      <c r="H894">
        <v>19</v>
      </c>
      <c r="I894" t="s">
        <v>93</v>
      </c>
      <c r="J894" s="9">
        <v>42272</v>
      </c>
      <c r="K894" s="1">
        <v>6286.9473680000001</v>
      </c>
      <c r="L894" s="1" t="s">
        <v>165</v>
      </c>
    </row>
    <row r="895" spans="1:12" x14ac:dyDescent="0.25">
      <c r="A895" t="s">
        <v>151</v>
      </c>
      <c r="B895" t="s">
        <v>181</v>
      </c>
      <c r="C895" t="s">
        <v>16</v>
      </c>
      <c r="D895" t="s">
        <v>162</v>
      </c>
      <c r="E895" t="s">
        <v>5</v>
      </c>
      <c r="F895" t="s">
        <v>7</v>
      </c>
      <c r="G895">
        <v>229038</v>
      </c>
      <c r="H895">
        <v>17</v>
      </c>
      <c r="I895" t="s">
        <v>79</v>
      </c>
      <c r="J895" s="9">
        <v>42277</v>
      </c>
      <c r="K895" s="1">
        <v>13472.82353</v>
      </c>
      <c r="L895" s="1" t="s">
        <v>166</v>
      </c>
    </row>
    <row r="896" spans="1:12" x14ac:dyDescent="0.25">
      <c r="A896" t="s">
        <v>151</v>
      </c>
      <c r="B896" t="s">
        <v>181</v>
      </c>
      <c r="C896" t="s">
        <v>137</v>
      </c>
      <c r="D896" t="s">
        <v>88</v>
      </c>
      <c r="E896" t="s">
        <v>9</v>
      </c>
      <c r="F896" t="s">
        <v>12</v>
      </c>
      <c r="G896">
        <v>163268</v>
      </c>
      <c r="H896">
        <v>22</v>
      </c>
      <c r="I896" t="s">
        <v>82</v>
      </c>
      <c r="J896" s="9">
        <v>42277</v>
      </c>
      <c r="K896" s="1">
        <v>7421.2727269999996</v>
      </c>
      <c r="L896" s="1" t="s">
        <v>165</v>
      </c>
    </row>
    <row r="897" spans="1:12" x14ac:dyDescent="0.25">
      <c r="A897" t="s">
        <v>151</v>
      </c>
      <c r="B897" t="s">
        <v>181</v>
      </c>
      <c r="C897" t="s">
        <v>135</v>
      </c>
      <c r="D897" t="s">
        <v>91</v>
      </c>
      <c r="E897" t="s">
        <v>9</v>
      </c>
      <c r="F897" t="s">
        <v>7</v>
      </c>
      <c r="G897">
        <v>188040</v>
      </c>
      <c r="H897">
        <v>42</v>
      </c>
      <c r="I897" t="s">
        <v>82</v>
      </c>
      <c r="J897" s="9">
        <v>42272</v>
      </c>
      <c r="K897" s="1">
        <v>4477.1428569999998</v>
      </c>
      <c r="L897" s="1" t="s">
        <v>165</v>
      </c>
    </row>
    <row r="898" spans="1:12" x14ac:dyDescent="0.25">
      <c r="A898" t="s">
        <v>151</v>
      </c>
      <c r="B898" t="s">
        <v>181</v>
      </c>
      <c r="C898" t="s">
        <v>25</v>
      </c>
      <c r="D898" t="s">
        <v>87</v>
      </c>
      <c r="E898" t="s">
        <v>9</v>
      </c>
      <c r="F898" t="s">
        <v>7</v>
      </c>
      <c r="G898">
        <v>56459</v>
      </c>
      <c r="H898">
        <v>40</v>
      </c>
      <c r="I898" t="s">
        <v>180</v>
      </c>
      <c r="J898" s="9">
        <v>42277</v>
      </c>
      <c r="K898" s="1">
        <v>1411.4749999999999</v>
      </c>
      <c r="L898" s="1" t="s">
        <v>167</v>
      </c>
    </row>
    <row r="899" spans="1:12" x14ac:dyDescent="0.25">
      <c r="A899" t="s">
        <v>151</v>
      </c>
      <c r="B899" t="s">
        <v>181</v>
      </c>
      <c r="C899" t="s">
        <v>182</v>
      </c>
      <c r="D899" t="s">
        <v>91</v>
      </c>
      <c r="E899" t="s">
        <v>9</v>
      </c>
      <c r="F899" t="s">
        <v>6</v>
      </c>
      <c r="G899">
        <v>139545</v>
      </c>
      <c r="H899">
        <v>26</v>
      </c>
      <c r="I899" t="s">
        <v>81</v>
      </c>
      <c r="J899" s="9">
        <v>42270</v>
      </c>
      <c r="K899" s="1">
        <v>5367.1153850000001</v>
      </c>
      <c r="L899" s="1" t="s">
        <v>165</v>
      </c>
    </row>
    <row r="900" spans="1:12" x14ac:dyDescent="0.25">
      <c r="A900" t="s">
        <v>151</v>
      </c>
      <c r="B900" t="s">
        <v>181</v>
      </c>
      <c r="C900" t="s">
        <v>142</v>
      </c>
      <c r="D900" t="s">
        <v>88</v>
      </c>
      <c r="E900" t="s">
        <v>9</v>
      </c>
      <c r="F900" t="s">
        <v>6</v>
      </c>
      <c r="G900">
        <v>177273</v>
      </c>
      <c r="H900">
        <v>19</v>
      </c>
      <c r="I900" t="s">
        <v>79</v>
      </c>
      <c r="J900" s="9">
        <v>42277</v>
      </c>
      <c r="K900" s="1">
        <v>9330.1578950000003</v>
      </c>
      <c r="L900" s="1" t="s">
        <v>165</v>
      </c>
    </row>
    <row r="901" spans="1:12" x14ac:dyDescent="0.25">
      <c r="A901" t="s">
        <v>151</v>
      </c>
      <c r="B901" t="s">
        <v>181</v>
      </c>
      <c r="C901" t="s">
        <v>123</v>
      </c>
      <c r="D901" t="s">
        <v>91</v>
      </c>
      <c r="E901" t="s">
        <v>9</v>
      </c>
      <c r="F901" t="s">
        <v>6</v>
      </c>
      <c r="G901">
        <v>69135</v>
      </c>
      <c r="H901">
        <v>28</v>
      </c>
      <c r="I901" t="s">
        <v>79</v>
      </c>
      <c r="J901" s="9">
        <v>42248</v>
      </c>
      <c r="K901" s="1">
        <v>2469.1071430000002</v>
      </c>
      <c r="L901" s="1" t="s">
        <v>167</v>
      </c>
    </row>
    <row r="902" spans="1:12" x14ac:dyDescent="0.25">
      <c r="A902" t="s">
        <v>151</v>
      </c>
      <c r="B902" t="s">
        <v>181</v>
      </c>
      <c r="C902" t="s">
        <v>123</v>
      </c>
      <c r="D902" t="s">
        <v>91</v>
      </c>
      <c r="E902" t="s">
        <v>9</v>
      </c>
      <c r="F902" t="s">
        <v>6</v>
      </c>
      <c r="G902">
        <v>63516</v>
      </c>
      <c r="H902">
        <v>32</v>
      </c>
      <c r="I902" t="s">
        <v>79</v>
      </c>
      <c r="J902" s="9">
        <v>42248</v>
      </c>
      <c r="K902" s="1">
        <v>1984.875</v>
      </c>
      <c r="L902" s="1" t="s">
        <v>167</v>
      </c>
    </row>
    <row r="903" spans="1:12" x14ac:dyDescent="0.25">
      <c r="A903" t="s">
        <v>151</v>
      </c>
      <c r="B903" t="s">
        <v>181</v>
      </c>
      <c r="C903" t="s">
        <v>183</v>
      </c>
      <c r="D903" t="s">
        <v>91</v>
      </c>
      <c r="E903" t="s">
        <v>9</v>
      </c>
      <c r="F903" t="s">
        <v>6</v>
      </c>
      <c r="G903">
        <v>88719</v>
      </c>
      <c r="H903">
        <v>17</v>
      </c>
      <c r="I903" t="s">
        <v>79</v>
      </c>
      <c r="J903" s="9">
        <v>42264</v>
      </c>
      <c r="K903" s="1">
        <v>5218.7647059999999</v>
      </c>
      <c r="L903" s="1" t="s">
        <v>167</v>
      </c>
    </row>
    <row r="904" spans="1:12" x14ac:dyDescent="0.25">
      <c r="A904" t="s">
        <v>151</v>
      </c>
      <c r="B904" t="s">
        <v>181</v>
      </c>
      <c r="C904" t="s">
        <v>22</v>
      </c>
      <c r="D904" t="s">
        <v>88</v>
      </c>
      <c r="E904" t="s">
        <v>9</v>
      </c>
      <c r="F904" t="s">
        <v>6</v>
      </c>
      <c r="G904">
        <v>246661</v>
      </c>
      <c r="H904">
        <v>18</v>
      </c>
      <c r="I904" t="s">
        <v>79</v>
      </c>
      <c r="J904" s="9">
        <v>42270</v>
      </c>
      <c r="K904" s="1">
        <v>13703.38889</v>
      </c>
      <c r="L904" s="1" t="s">
        <v>166</v>
      </c>
    </row>
    <row r="905" spans="1:12" x14ac:dyDescent="0.25">
      <c r="A905" t="s">
        <v>151</v>
      </c>
      <c r="B905" t="s">
        <v>181</v>
      </c>
      <c r="C905" t="s">
        <v>11</v>
      </c>
      <c r="D905" t="s">
        <v>163</v>
      </c>
      <c r="E905" t="s">
        <v>5</v>
      </c>
      <c r="F905" t="s">
        <v>12</v>
      </c>
      <c r="G905">
        <v>78060</v>
      </c>
      <c r="H905">
        <v>41</v>
      </c>
      <c r="I905" t="s">
        <v>82</v>
      </c>
      <c r="J905" s="9">
        <v>42249</v>
      </c>
      <c r="K905" s="1">
        <v>1903.902439</v>
      </c>
      <c r="L905" s="1" t="s">
        <v>167</v>
      </c>
    </row>
    <row r="906" spans="1:12" x14ac:dyDescent="0.25">
      <c r="A906" t="s">
        <v>151</v>
      </c>
      <c r="B906" t="s">
        <v>181</v>
      </c>
      <c r="C906" t="s">
        <v>116</v>
      </c>
      <c r="D906" t="s">
        <v>88</v>
      </c>
      <c r="E906" t="s">
        <v>9</v>
      </c>
      <c r="F906" t="s">
        <v>6</v>
      </c>
      <c r="G906">
        <v>97132</v>
      </c>
      <c r="H906">
        <v>38</v>
      </c>
      <c r="I906" t="s">
        <v>79</v>
      </c>
      <c r="J906" s="9">
        <v>42277</v>
      </c>
      <c r="K906" s="1">
        <v>2556.1052629999999</v>
      </c>
      <c r="L906" s="1" t="s">
        <v>167</v>
      </c>
    </row>
    <row r="907" spans="1:12" x14ac:dyDescent="0.25">
      <c r="A907" t="s">
        <v>151</v>
      </c>
      <c r="B907" t="s">
        <v>181</v>
      </c>
      <c r="C907" t="s">
        <v>22</v>
      </c>
      <c r="D907" t="s">
        <v>88</v>
      </c>
      <c r="E907" t="s">
        <v>9</v>
      </c>
      <c r="F907" t="s">
        <v>6</v>
      </c>
      <c r="G907">
        <v>212403</v>
      </c>
      <c r="H907">
        <v>27</v>
      </c>
      <c r="I907" t="s">
        <v>81</v>
      </c>
      <c r="J907" s="9">
        <v>42270</v>
      </c>
      <c r="K907" s="1">
        <v>7866.7777779999997</v>
      </c>
      <c r="L907" s="1" t="s">
        <v>166</v>
      </c>
    </row>
    <row r="908" spans="1:12" x14ac:dyDescent="0.25">
      <c r="A908" t="s">
        <v>152</v>
      </c>
      <c r="B908" t="s">
        <v>181</v>
      </c>
      <c r="C908" t="s">
        <v>123</v>
      </c>
      <c r="D908" t="s">
        <v>91</v>
      </c>
      <c r="E908" t="s">
        <v>9</v>
      </c>
      <c r="F908" t="s">
        <v>6</v>
      </c>
      <c r="G908">
        <v>69112</v>
      </c>
      <c r="H908">
        <v>40</v>
      </c>
      <c r="I908" t="s">
        <v>81</v>
      </c>
      <c r="J908" s="9">
        <v>42248</v>
      </c>
      <c r="K908" s="1">
        <v>1727.8</v>
      </c>
      <c r="L908" s="1" t="s">
        <v>167</v>
      </c>
    </row>
    <row r="909" spans="1:12" x14ac:dyDescent="0.25">
      <c r="A909" t="s">
        <v>152</v>
      </c>
      <c r="B909" t="s">
        <v>181</v>
      </c>
      <c r="C909" t="s">
        <v>183</v>
      </c>
      <c r="D909" t="s">
        <v>91</v>
      </c>
      <c r="E909" t="s">
        <v>9</v>
      </c>
      <c r="F909" t="s">
        <v>6</v>
      </c>
      <c r="G909">
        <v>235674</v>
      </c>
      <c r="H909">
        <v>17</v>
      </c>
      <c r="I909" t="s">
        <v>180</v>
      </c>
      <c r="J909" s="9">
        <v>42264</v>
      </c>
      <c r="K909" s="1">
        <v>13863.17647</v>
      </c>
      <c r="L909" s="1" t="s">
        <v>166</v>
      </c>
    </row>
    <row r="910" spans="1:12" x14ac:dyDescent="0.25">
      <c r="A910" t="s">
        <v>152</v>
      </c>
      <c r="B910" t="s">
        <v>181</v>
      </c>
      <c r="C910" t="s">
        <v>64</v>
      </c>
      <c r="D910" t="s">
        <v>91</v>
      </c>
      <c r="E910" t="s">
        <v>9</v>
      </c>
      <c r="F910" t="s">
        <v>6</v>
      </c>
      <c r="G910">
        <v>177093</v>
      </c>
      <c r="H910">
        <v>17</v>
      </c>
      <c r="I910" t="s">
        <v>79</v>
      </c>
      <c r="J910" s="9">
        <v>42271</v>
      </c>
      <c r="K910" s="1">
        <v>10417.235290000001</v>
      </c>
      <c r="L910" s="1" t="s">
        <v>165</v>
      </c>
    </row>
    <row r="911" spans="1:12" x14ac:dyDescent="0.25">
      <c r="A911" t="s">
        <v>152</v>
      </c>
      <c r="B911" t="s">
        <v>181</v>
      </c>
      <c r="C911" t="s">
        <v>69</v>
      </c>
      <c r="D911" t="s">
        <v>91</v>
      </c>
      <c r="E911" t="s">
        <v>9</v>
      </c>
      <c r="F911" t="s">
        <v>7</v>
      </c>
      <c r="G911">
        <v>205879</v>
      </c>
      <c r="H911">
        <v>34</v>
      </c>
      <c r="I911" t="s">
        <v>180</v>
      </c>
      <c r="J911" s="9">
        <v>42277</v>
      </c>
      <c r="K911" s="1">
        <v>6055.2647059999999</v>
      </c>
      <c r="L911" s="1" t="s">
        <v>166</v>
      </c>
    </row>
    <row r="912" spans="1:12" x14ac:dyDescent="0.25">
      <c r="A912" t="s">
        <v>152</v>
      </c>
      <c r="B912" t="s">
        <v>181</v>
      </c>
      <c r="C912" t="s">
        <v>4</v>
      </c>
      <c r="D912" t="s">
        <v>163</v>
      </c>
      <c r="E912" t="s">
        <v>5</v>
      </c>
      <c r="F912" t="s">
        <v>7</v>
      </c>
      <c r="G912">
        <v>116209</v>
      </c>
      <c r="H912">
        <v>33</v>
      </c>
      <c r="I912" t="s">
        <v>82</v>
      </c>
      <c r="J912" s="9">
        <v>42277</v>
      </c>
      <c r="K912" s="1">
        <v>3521.4848480000001</v>
      </c>
      <c r="L912" s="1" t="s">
        <v>165</v>
      </c>
    </row>
    <row r="913" spans="1:12" x14ac:dyDescent="0.25">
      <c r="A913" t="s">
        <v>152</v>
      </c>
      <c r="B913" t="s">
        <v>181</v>
      </c>
      <c r="C913" t="s">
        <v>118</v>
      </c>
      <c r="D913" t="s">
        <v>162</v>
      </c>
      <c r="E913" t="s">
        <v>5</v>
      </c>
      <c r="F913" t="s">
        <v>7</v>
      </c>
      <c r="G913">
        <v>93476</v>
      </c>
      <c r="H913">
        <v>36</v>
      </c>
      <c r="I913" t="s">
        <v>79</v>
      </c>
      <c r="J913" s="9">
        <v>42272</v>
      </c>
      <c r="K913" s="1">
        <v>2596.5555559999998</v>
      </c>
      <c r="L913" s="1" t="s">
        <v>167</v>
      </c>
    </row>
    <row r="914" spans="1:12" x14ac:dyDescent="0.25">
      <c r="A914" t="s">
        <v>152</v>
      </c>
      <c r="B914" t="s">
        <v>181</v>
      </c>
      <c r="C914" t="s">
        <v>183</v>
      </c>
      <c r="D914" t="s">
        <v>91</v>
      </c>
      <c r="E914" t="s">
        <v>9</v>
      </c>
      <c r="F914" t="s">
        <v>6</v>
      </c>
      <c r="G914">
        <v>142317</v>
      </c>
      <c r="H914">
        <v>39</v>
      </c>
      <c r="I914" t="s">
        <v>79</v>
      </c>
      <c r="J914" s="9">
        <v>42264</v>
      </c>
      <c r="K914" s="1">
        <v>3649.1538460000002</v>
      </c>
      <c r="L914" s="1" t="s">
        <v>165</v>
      </c>
    </row>
    <row r="915" spans="1:12" x14ac:dyDescent="0.25">
      <c r="A915" t="s">
        <v>152</v>
      </c>
      <c r="B915" t="s">
        <v>181</v>
      </c>
      <c r="C915" t="s">
        <v>15</v>
      </c>
      <c r="D915" t="s">
        <v>162</v>
      </c>
      <c r="E915" t="s">
        <v>5</v>
      </c>
      <c r="F915" t="s">
        <v>7</v>
      </c>
      <c r="G915">
        <v>246301</v>
      </c>
      <c r="H915">
        <v>37</v>
      </c>
      <c r="I915" t="s">
        <v>81</v>
      </c>
      <c r="J915" s="9">
        <v>42272</v>
      </c>
      <c r="K915" s="1">
        <v>6656.7837840000002</v>
      </c>
      <c r="L915" s="1" t="s">
        <v>166</v>
      </c>
    </row>
    <row r="916" spans="1:12" x14ac:dyDescent="0.25">
      <c r="A916" t="s">
        <v>152</v>
      </c>
      <c r="B916" t="s">
        <v>181</v>
      </c>
      <c r="C916" t="s">
        <v>184</v>
      </c>
      <c r="D916" t="s">
        <v>86</v>
      </c>
      <c r="E916" t="s">
        <v>9</v>
      </c>
      <c r="F916" t="s">
        <v>10</v>
      </c>
      <c r="G916">
        <v>246738</v>
      </c>
      <c r="H916">
        <v>26</v>
      </c>
      <c r="I916" t="s">
        <v>180</v>
      </c>
      <c r="J916" s="9">
        <v>42270</v>
      </c>
      <c r="K916" s="1">
        <v>9489.9230769999995</v>
      </c>
      <c r="L916" s="1" t="s">
        <v>166</v>
      </c>
    </row>
    <row r="917" spans="1:12" x14ac:dyDescent="0.25">
      <c r="A917" t="s">
        <v>152</v>
      </c>
      <c r="B917" t="s">
        <v>181</v>
      </c>
      <c r="C917" t="s">
        <v>24</v>
      </c>
      <c r="D917" t="s">
        <v>86</v>
      </c>
      <c r="E917" t="s">
        <v>5</v>
      </c>
      <c r="F917" t="s">
        <v>6</v>
      </c>
      <c r="G917">
        <v>70209</v>
      </c>
      <c r="H917">
        <v>30</v>
      </c>
      <c r="I917" t="s">
        <v>93</v>
      </c>
      <c r="J917" s="9">
        <v>42275</v>
      </c>
      <c r="K917" s="1">
        <v>2340.3000000000002</v>
      </c>
      <c r="L917" s="1" t="s">
        <v>167</v>
      </c>
    </row>
    <row r="918" spans="1:12" x14ac:dyDescent="0.25">
      <c r="A918" t="s">
        <v>152</v>
      </c>
      <c r="B918" t="s">
        <v>181</v>
      </c>
      <c r="C918" t="s">
        <v>34</v>
      </c>
      <c r="D918" t="s">
        <v>87</v>
      </c>
      <c r="E918" t="s">
        <v>9</v>
      </c>
      <c r="F918" t="s">
        <v>6</v>
      </c>
      <c r="G918">
        <v>203127</v>
      </c>
      <c r="H918">
        <v>33</v>
      </c>
      <c r="I918" t="s">
        <v>81</v>
      </c>
      <c r="J918" s="9">
        <v>42268</v>
      </c>
      <c r="K918" s="1">
        <v>6155.363636</v>
      </c>
      <c r="L918" s="1" t="s">
        <v>166</v>
      </c>
    </row>
    <row r="919" spans="1:12" x14ac:dyDescent="0.25">
      <c r="A919" t="s">
        <v>152</v>
      </c>
      <c r="B919" t="s">
        <v>181</v>
      </c>
      <c r="C919" t="s">
        <v>186</v>
      </c>
      <c r="D919" t="s">
        <v>91</v>
      </c>
      <c r="E919" t="s">
        <v>9</v>
      </c>
      <c r="F919" t="s">
        <v>6</v>
      </c>
      <c r="G919">
        <v>149228</v>
      </c>
      <c r="H919">
        <v>22</v>
      </c>
      <c r="I919" t="s">
        <v>180</v>
      </c>
      <c r="J919" s="9">
        <v>42262</v>
      </c>
      <c r="K919" s="1">
        <v>6783.0909089999996</v>
      </c>
      <c r="L919" s="1" t="s">
        <v>165</v>
      </c>
    </row>
    <row r="920" spans="1:12" x14ac:dyDescent="0.25">
      <c r="A920" t="s">
        <v>152</v>
      </c>
      <c r="B920" t="s">
        <v>181</v>
      </c>
      <c r="C920" t="s">
        <v>126</v>
      </c>
      <c r="D920" t="s">
        <v>87</v>
      </c>
      <c r="E920" t="s">
        <v>9</v>
      </c>
      <c r="F920" t="s">
        <v>6</v>
      </c>
      <c r="G920">
        <v>118715</v>
      </c>
      <c r="H920">
        <v>33</v>
      </c>
      <c r="I920" t="s">
        <v>180</v>
      </c>
      <c r="J920" s="9">
        <v>42262</v>
      </c>
      <c r="K920" s="1">
        <v>3597.424242</v>
      </c>
      <c r="L920" s="1" t="s">
        <v>165</v>
      </c>
    </row>
    <row r="921" spans="1:12" x14ac:dyDescent="0.25">
      <c r="A921" t="s">
        <v>152</v>
      </c>
      <c r="B921" t="s">
        <v>181</v>
      </c>
      <c r="C921" t="s">
        <v>183</v>
      </c>
      <c r="D921" t="s">
        <v>91</v>
      </c>
      <c r="E921" t="s">
        <v>9</v>
      </c>
      <c r="F921" t="s">
        <v>6</v>
      </c>
      <c r="G921">
        <v>223565</v>
      </c>
      <c r="H921">
        <v>42</v>
      </c>
      <c r="I921" t="s">
        <v>79</v>
      </c>
      <c r="J921" s="9">
        <v>42264</v>
      </c>
      <c r="K921" s="1">
        <v>5322.9761900000003</v>
      </c>
      <c r="L921" s="1" t="s">
        <v>166</v>
      </c>
    </row>
    <row r="922" spans="1:12" x14ac:dyDescent="0.25">
      <c r="A922" t="s">
        <v>152</v>
      </c>
      <c r="B922" t="s">
        <v>181</v>
      </c>
      <c r="C922" t="s">
        <v>183</v>
      </c>
      <c r="D922" t="s">
        <v>91</v>
      </c>
      <c r="E922" t="s">
        <v>9</v>
      </c>
      <c r="F922" t="s">
        <v>6</v>
      </c>
      <c r="G922">
        <v>217457</v>
      </c>
      <c r="H922">
        <v>18</v>
      </c>
      <c r="I922" t="s">
        <v>79</v>
      </c>
      <c r="J922" s="9">
        <v>42264</v>
      </c>
      <c r="K922" s="1">
        <v>12080.944439999999</v>
      </c>
      <c r="L922" s="1" t="s">
        <v>166</v>
      </c>
    </row>
    <row r="923" spans="1:12" x14ac:dyDescent="0.25">
      <c r="A923" t="s">
        <v>152</v>
      </c>
      <c r="B923" t="s">
        <v>181</v>
      </c>
      <c r="C923" t="s">
        <v>183</v>
      </c>
      <c r="D923" t="s">
        <v>91</v>
      </c>
      <c r="E923" t="s">
        <v>9</v>
      </c>
      <c r="F923" t="s">
        <v>6</v>
      </c>
      <c r="G923">
        <v>215492</v>
      </c>
      <c r="H923">
        <v>15</v>
      </c>
      <c r="I923" t="s">
        <v>79</v>
      </c>
      <c r="J923" s="9">
        <v>42264</v>
      </c>
      <c r="K923" s="1">
        <v>14366.133330000001</v>
      </c>
      <c r="L923" s="1" t="s">
        <v>166</v>
      </c>
    </row>
    <row r="924" spans="1:12" x14ac:dyDescent="0.25">
      <c r="A924" t="s">
        <v>152</v>
      </c>
      <c r="B924" t="s">
        <v>181</v>
      </c>
      <c r="C924" t="s">
        <v>124</v>
      </c>
      <c r="D924" t="s">
        <v>162</v>
      </c>
      <c r="E924" t="s">
        <v>5</v>
      </c>
      <c r="F924" t="s">
        <v>7</v>
      </c>
      <c r="G924">
        <v>245319</v>
      </c>
      <c r="H924">
        <v>21</v>
      </c>
      <c r="I924" t="s">
        <v>81</v>
      </c>
      <c r="J924" s="9">
        <v>42277</v>
      </c>
      <c r="K924" s="1">
        <v>11681.85714</v>
      </c>
      <c r="L924" s="1" t="s">
        <v>166</v>
      </c>
    </row>
    <row r="925" spans="1:12" x14ac:dyDescent="0.25">
      <c r="A925" t="s">
        <v>152</v>
      </c>
      <c r="B925" t="s">
        <v>181</v>
      </c>
      <c r="C925" t="s">
        <v>22</v>
      </c>
      <c r="D925" t="s">
        <v>88</v>
      </c>
      <c r="E925" t="s">
        <v>9</v>
      </c>
      <c r="F925" t="s">
        <v>6</v>
      </c>
      <c r="G925">
        <v>104265</v>
      </c>
      <c r="H925">
        <v>36</v>
      </c>
      <c r="I925" t="s">
        <v>81</v>
      </c>
      <c r="J925" s="9">
        <v>42270</v>
      </c>
      <c r="K925" s="1">
        <v>2896.25</v>
      </c>
      <c r="L925" s="1" t="s">
        <v>165</v>
      </c>
    </row>
    <row r="926" spans="1:12" x14ac:dyDescent="0.25">
      <c r="A926" t="s">
        <v>152</v>
      </c>
      <c r="B926" t="s">
        <v>181</v>
      </c>
      <c r="C926" t="s">
        <v>141</v>
      </c>
      <c r="D926" t="s">
        <v>86</v>
      </c>
      <c r="E926" t="s">
        <v>5</v>
      </c>
      <c r="F926" t="s">
        <v>7</v>
      </c>
      <c r="G926">
        <v>234136</v>
      </c>
      <c r="H926">
        <v>15</v>
      </c>
      <c r="I926" t="s">
        <v>82</v>
      </c>
      <c r="J926" s="9">
        <v>42262</v>
      </c>
      <c r="K926" s="1">
        <v>15609.06667</v>
      </c>
      <c r="L926" s="1" t="s">
        <v>166</v>
      </c>
    </row>
    <row r="927" spans="1:12" x14ac:dyDescent="0.25">
      <c r="A927" t="s">
        <v>152</v>
      </c>
      <c r="B927" t="s">
        <v>181</v>
      </c>
      <c r="C927" t="s">
        <v>184</v>
      </c>
      <c r="D927" t="s">
        <v>86</v>
      </c>
      <c r="E927" t="s">
        <v>9</v>
      </c>
      <c r="F927" t="s">
        <v>10</v>
      </c>
      <c r="G927">
        <v>114323</v>
      </c>
      <c r="H927">
        <v>20</v>
      </c>
      <c r="I927" t="s">
        <v>79</v>
      </c>
      <c r="J927" s="9">
        <v>42270</v>
      </c>
      <c r="K927" s="1">
        <v>5716.15</v>
      </c>
      <c r="L927" s="1" t="s">
        <v>165</v>
      </c>
    </row>
    <row r="928" spans="1:12" x14ac:dyDescent="0.25">
      <c r="A928" t="s">
        <v>152</v>
      </c>
      <c r="B928" t="s">
        <v>181</v>
      </c>
      <c r="C928" t="s">
        <v>183</v>
      </c>
      <c r="D928" t="s">
        <v>91</v>
      </c>
      <c r="E928" t="s">
        <v>9</v>
      </c>
      <c r="F928" t="s">
        <v>6</v>
      </c>
      <c r="G928">
        <v>65032</v>
      </c>
      <c r="H928">
        <v>21</v>
      </c>
      <c r="I928" t="s">
        <v>79</v>
      </c>
      <c r="J928" s="9">
        <v>42264</v>
      </c>
      <c r="K928" s="1">
        <v>3096.7619049999998</v>
      </c>
      <c r="L928" s="1" t="s">
        <v>167</v>
      </c>
    </row>
    <row r="929" spans="1:12" x14ac:dyDescent="0.25">
      <c r="A929" t="s">
        <v>152</v>
      </c>
      <c r="B929" t="s">
        <v>181</v>
      </c>
      <c r="C929" t="s">
        <v>185</v>
      </c>
      <c r="D929" t="s">
        <v>162</v>
      </c>
      <c r="E929" t="s">
        <v>5</v>
      </c>
      <c r="F929" t="s">
        <v>6</v>
      </c>
      <c r="G929">
        <v>143315</v>
      </c>
      <c r="H929">
        <v>15</v>
      </c>
      <c r="I929" t="s">
        <v>82</v>
      </c>
      <c r="J929" s="9">
        <v>42277</v>
      </c>
      <c r="K929" s="1">
        <v>9554.3333330000005</v>
      </c>
      <c r="L929" s="1" t="s">
        <v>165</v>
      </c>
    </row>
    <row r="930" spans="1:12" x14ac:dyDescent="0.25">
      <c r="A930" t="s">
        <v>152</v>
      </c>
      <c r="B930" t="s">
        <v>181</v>
      </c>
      <c r="C930" t="s">
        <v>115</v>
      </c>
      <c r="D930" t="s">
        <v>91</v>
      </c>
      <c r="E930" t="s">
        <v>9</v>
      </c>
      <c r="F930" t="s">
        <v>6</v>
      </c>
      <c r="G930">
        <v>121533</v>
      </c>
      <c r="H930">
        <v>23</v>
      </c>
      <c r="I930" t="s">
        <v>180</v>
      </c>
      <c r="J930" s="9">
        <v>42262</v>
      </c>
      <c r="K930" s="1">
        <v>5284.0434779999996</v>
      </c>
      <c r="L930" s="1" t="s">
        <v>165</v>
      </c>
    </row>
    <row r="931" spans="1:12" x14ac:dyDescent="0.25">
      <c r="A931" t="s">
        <v>153</v>
      </c>
      <c r="B931" t="s">
        <v>181</v>
      </c>
      <c r="C931" t="s">
        <v>120</v>
      </c>
      <c r="D931" t="s">
        <v>88</v>
      </c>
      <c r="E931" t="s">
        <v>9</v>
      </c>
      <c r="F931" t="s">
        <v>6</v>
      </c>
      <c r="G931">
        <v>203453</v>
      </c>
      <c r="H931">
        <v>30</v>
      </c>
      <c r="I931" t="s">
        <v>81</v>
      </c>
      <c r="J931" s="9">
        <v>42272</v>
      </c>
      <c r="K931" s="1">
        <v>6781.7666669999999</v>
      </c>
      <c r="L931" s="1" t="s">
        <v>166</v>
      </c>
    </row>
    <row r="932" spans="1:12" x14ac:dyDescent="0.25">
      <c r="A932" t="s">
        <v>153</v>
      </c>
      <c r="B932" t="s">
        <v>181</v>
      </c>
      <c r="C932" t="s">
        <v>118</v>
      </c>
      <c r="D932" t="s">
        <v>162</v>
      </c>
      <c r="E932" t="s">
        <v>5</v>
      </c>
      <c r="F932" t="s">
        <v>7</v>
      </c>
      <c r="G932">
        <v>227032</v>
      </c>
      <c r="H932">
        <v>17</v>
      </c>
      <c r="I932" t="s">
        <v>81</v>
      </c>
      <c r="J932" s="9">
        <v>42272</v>
      </c>
      <c r="K932" s="1">
        <v>13354.82353</v>
      </c>
      <c r="L932" s="1" t="s">
        <v>166</v>
      </c>
    </row>
    <row r="933" spans="1:12" x14ac:dyDescent="0.25">
      <c r="A933" t="s">
        <v>153</v>
      </c>
      <c r="B933" t="s">
        <v>181</v>
      </c>
      <c r="C933" t="s">
        <v>141</v>
      </c>
      <c r="D933" t="s">
        <v>91</v>
      </c>
      <c r="E933" t="s">
        <v>9</v>
      </c>
      <c r="F933" t="s">
        <v>6</v>
      </c>
      <c r="G933">
        <v>81059</v>
      </c>
      <c r="H933">
        <v>32</v>
      </c>
      <c r="I933" t="s">
        <v>180</v>
      </c>
      <c r="J933" s="9">
        <v>42262</v>
      </c>
      <c r="K933" s="1">
        <v>2533.09375</v>
      </c>
      <c r="L933" s="1" t="s">
        <v>167</v>
      </c>
    </row>
    <row r="934" spans="1:12" x14ac:dyDescent="0.25">
      <c r="A934" t="s">
        <v>153</v>
      </c>
      <c r="B934" t="s">
        <v>181</v>
      </c>
      <c r="C934" t="s">
        <v>142</v>
      </c>
      <c r="D934" t="s">
        <v>88</v>
      </c>
      <c r="E934" t="s">
        <v>9</v>
      </c>
      <c r="F934" t="s">
        <v>6</v>
      </c>
      <c r="G934">
        <v>142751</v>
      </c>
      <c r="H934">
        <v>32</v>
      </c>
      <c r="I934" t="s">
        <v>79</v>
      </c>
      <c r="J934" s="9">
        <v>42277</v>
      </c>
      <c r="K934" s="1">
        <v>4460.96875</v>
      </c>
      <c r="L934" s="1" t="s">
        <v>165</v>
      </c>
    </row>
    <row r="935" spans="1:12" x14ac:dyDescent="0.25">
      <c r="A935" t="s">
        <v>153</v>
      </c>
      <c r="B935" t="s">
        <v>181</v>
      </c>
      <c r="C935" t="s">
        <v>183</v>
      </c>
      <c r="D935" t="s">
        <v>91</v>
      </c>
      <c r="E935" t="s">
        <v>9</v>
      </c>
      <c r="F935" t="s">
        <v>6</v>
      </c>
      <c r="G935">
        <v>179217</v>
      </c>
      <c r="H935">
        <v>17</v>
      </c>
      <c r="I935" t="s">
        <v>79</v>
      </c>
      <c r="J935" s="9">
        <v>42264</v>
      </c>
      <c r="K935" s="1">
        <v>10542.17647</v>
      </c>
      <c r="L935" s="1" t="s">
        <v>165</v>
      </c>
    </row>
    <row r="936" spans="1:12" x14ac:dyDescent="0.25">
      <c r="A936" t="s">
        <v>153</v>
      </c>
      <c r="B936" t="s">
        <v>181</v>
      </c>
      <c r="C936" t="s">
        <v>4</v>
      </c>
      <c r="D936" t="s">
        <v>163</v>
      </c>
      <c r="E936" t="s">
        <v>5</v>
      </c>
      <c r="F936" t="s">
        <v>7</v>
      </c>
      <c r="G936">
        <v>84596</v>
      </c>
      <c r="H936">
        <v>38</v>
      </c>
      <c r="I936" t="s">
        <v>81</v>
      </c>
      <c r="J936" s="9">
        <v>42277</v>
      </c>
      <c r="K936" s="1">
        <v>2226.2105259999998</v>
      </c>
      <c r="L936" s="1" t="s">
        <v>167</v>
      </c>
    </row>
    <row r="937" spans="1:12" x14ac:dyDescent="0.25">
      <c r="A937" t="s">
        <v>153</v>
      </c>
      <c r="B937" t="s">
        <v>181</v>
      </c>
      <c r="C937" t="s">
        <v>182</v>
      </c>
      <c r="D937" t="s">
        <v>91</v>
      </c>
      <c r="E937" t="s">
        <v>9</v>
      </c>
      <c r="F937" t="s">
        <v>6</v>
      </c>
      <c r="G937">
        <v>215842</v>
      </c>
      <c r="H937">
        <v>37</v>
      </c>
      <c r="I937" t="s">
        <v>81</v>
      </c>
      <c r="J937" s="9">
        <v>42277</v>
      </c>
      <c r="K937" s="1">
        <v>5833.5675680000004</v>
      </c>
      <c r="L937" s="1" t="s">
        <v>166</v>
      </c>
    </row>
    <row r="938" spans="1:12" x14ac:dyDescent="0.25">
      <c r="A938" t="s">
        <v>153</v>
      </c>
      <c r="B938" t="s">
        <v>181</v>
      </c>
      <c r="C938" t="s">
        <v>22</v>
      </c>
      <c r="D938" t="s">
        <v>88</v>
      </c>
      <c r="E938" t="s">
        <v>9</v>
      </c>
      <c r="F938" t="s">
        <v>6</v>
      </c>
      <c r="G938">
        <v>246658</v>
      </c>
      <c r="H938">
        <v>20</v>
      </c>
      <c r="I938" t="s">
        <v>81</v>
      </c>
      <c r="J938" s="9">
        <v>42270</v>
      </c>
      <c r="K938" s="1">
        <v>12332.9</v>
      </c>
      <c r="L938" s="1" t="s">
        <v>166</v>
      </c>
    </row>
    <row r="939" spans="1:12" x14ac:dyDescent="0.25">
      <c r="A939" t="s">
        <v>153</v>
      </c>
      <c r="B939" t="s">
        <v>181</v>
      </c>
      <c r="C939" t="s">
        <v>123</v>
      </c>
      <c r="D939" t="s">
        <v>91</v>
      </c>
      <c r="E939" t="s">
        <v>9</v>
      </c>
      <c r="F939" t="s">
        <v>6</v>
      </c>
      <c r="G939">
        <v>76492</v>
      </c>
      <c r="H939">
        <v>28</v>
      </c>
      <c r="I939" t="s">
        <v>79</v>
      </c>
      <c r="J939" s="9">
        <v>42248</v>
      </c>
      <c r="K939" s="1">
        <v>2731.8571430000002</v>
      </c>
      <c r="L939" s="1" t="s">
        <v>167</v>
      </c>
    </row>
    <row r="940" spans="1:12" x14ac:dyDescent="0.25">
      <c r="A940" t="s">
        <v>153</v>
      </c>
      <c r="B940" t="s">
        <v>181</v>
      </c>
      <c r="C940" t="s">
        <v>123</v>
      </c>
      <c r="D940" t="s">
        <v>91</v>
      </c>
      <c r="E940" t="s">
        <v>9</v>
      </c>
      <c r="F940" t="s">
        <v>6</v>
      </c>
      <c r="G940">
        <v>194703</v>
      </c>
      <c r="H940">
        <v>21</v>
      </c>
      <c r="I940" t="s">
        <v>79</v>
      </c>
      <c r="J940" s="9">
        <v>42248</v>
      </c>
      <c r="K940" s="1">
        <v>9271.5714289999996</v>
      </c>
      <c r="L940" s="1" t="s">
        <v>165</v>
      </c>
    </row>
    <row r="941" spans="1:12" x14ac:dyDescent="0.25">
      <c r="A941" t="s">
        <v>153</v>
      </c>
      <c r="B941" t="s">
        <v>181</v>
      </c>
      <c r="C941" t="s">
        <v>183</v>
      </c>
      <c r="D941" t="s">
        <v>91</v>
      </c>
      <c r="E941" t="s">
        <v>9</v>
      </c>
      <c r="F941" t="s">
        <v>6</v>
      </c>
      <c r="G941">
        <v>130971</v>
      </c>
      <c r="H941">
        <v>16</v>
      </c>
      <c r="I941" t="s">
        <v>79</v>
      </c>
      <c r="J941" s="9">
        <v>42264</v>
      </c>
      <c r="K941" s="1">
        <v>8185.6875</v>
      </c>
      <c r="L941" s="1" t="s">
        <v>165</v>
      </c>
    </row>
    <row r="942" spans="1:12" x14ac:dyDescent="0.25">
      <c r="A942" t="s">
        <v>153</v>
      </c>
      <c r="B942" t="s">
        <v>181</v>
      </c>
      <c r="C942" t="s">
        <v>28</v>
      </c>
      <c r="D942" t="s">
        <v>88</v>
      </c>
      <c r="E942" t="s">
        <v>9</v>
      </c>
      <c r="F942" t="s">
        <v>6</v>
      </c>
      <c r="G942">
        <v>230557</v>
      </c>
      <c r="H942">
        <v>24</v>
      </c>
      <c r="I942" t="s">
        <v>180</v>
      </c>
      <c r="J942" s="9">
        <v>42277</v>
      </c>
      <c r="K942" s="1">
        <v>9606.5416669999995</v>
      </c>
      <c r="L942" s="1" t="s">
        <v>166</v>
      </c>
    </row>
    <row r="943" spans="1:12" x14ac:dyDescent="0.25">
      <c r="A943" t="s">
        <v>154</v>
      </c>
      <c r="B943" t="s">
        <v>181</v>
      </c>
      <c r="C943" t="s">
        <v>142</v>
      </c>
      <c r="D943" t="s">
        <v>88</v>
      </c>
      <c r="E943" t="s">
        <v>9</v>
      </c>
      <c r="F943" t="s">
        <v>6</v>
      </c>
      <c r="G943">
        <v>81342</v>
      </c>
      <c r="H943">
        <v>34</v>
      </c>
      <c r="I943" t="s">
        <v>81</v>
      </c>
      <c r="J943" s="9">
        <v>42277</v>
      </c>
      <c r="K943" s="1">
        <v>2392.4117649999998</v>
      </c>
      <c r="L943" s="1" t="s">
        <v>167</v>
      </c>
    </row>
    <row r="944" spans="1:12" x14ac:dyDescent="0.25">
      <c r="A944" t="s">
        <v>154</v>
      </c>
      <c r="B944" t="s">
        <v>181</v>
      </c>
      <c r="C944" t="s">
        <v>183</v>
      </c>
      <c r="D944" t="s">
        <v>91</v>
      </c>
      <c r="E944" t="s">
        <v>9</v>
      </c>
      <c r="F944" t="s">
        <v>6</v>
      </c>
      <c r="G944">
        <v>132626</v>
      </c>
      <c r="H944">
        <v>25</v>
      </c>
      <c r="I944" t="s">
        <v>79</v>
      </c>
      <c r="J944" s="9">
        <v>42264</v>
      </c>
      <c r="K944" s="1">
        <v>5305.04</v>
      </c>
      <c r="L944" s="1" t="s">
        <v>165</v>
      </c>
    </row>
    <row r="945" spans="1:12" x14ac:dyDescent="0.25">
      <c r="A945" t="s">
        <v>154</v>
      </c>
      <c r="B945" t="s">
        <v>181</v>
      </c>
      <c r="C945" t="s">
        <v>183</v>
      </c>
      <c r="D945" t="s">
        <v>91</v>
      </c>
      <c r="E945" t="s">
        <v>9</v>
      </c>
      <c r="F945" t="s">
        <v>6</v>
      </c>
      <c r="G945">
        <v>63646</v>
      </c>
      <c r="H945">
        <v>21</v>
      </c>
      <c r="I945" t="s">
        <v>81</v>
      </c>
      <c r="J945" s="9">
        <v>42264</v>
      </c>
      <c r="K945" s="1">
        <v>3030.7619049999998</v>
      </c>
      <c r="L945" s="1" t="s">
        <v>167</v>
      </c>
    </row>
    <row r="946" spans="1:12" x14ac:dyDescent="0.25">
      <c r="A946" t="s">
        <v>154</v>
      </c>
      <c r="B946" t="s">
        <v>181</v>
      </c>
      <c r="C946" t="s">
        <v>66</v>
      </c>
      <c r="D946" t="s">
        <v>88</v>
      </c>
      <c r="E946" t="s">
        <v>9</v>
      </c>
      <c r="F946" t="s">
        <v>6</v>
      </c>
      <c r="G946">
        <v>217548</v>
      </c>
      <c r="H946">
        <v>30</v>
      </c>
      <c r="I946" t="s">
        <v>79</v>
      </c>
      <c r="J946" s="9">
        <v>42277</v>
      </c>
      <c r="K946" s="1">
        <v>7251.6</v>
      </c>
      <c r="L946" s="1" t="s">
        <v>166</v>
      </c>
    </row>
    <row r="947" spans="1:12" x14ac:dyDescent="0.25">
      <c r="A947" t="s">
        <v>154</v>
      </c>
      <c r="B947" t="s">
        <v>181</v>
      </c>
      <c r="C947" t="s">
        <v>68</v>
      </c>
      <c r="D947" t="s">
        <v>91</v>
      </c>
      <c r="E947" t="s">
        <v>9</v>
      </c>
      <c r="F947" t="s">
        <v>6</v>
      </c>
      <c r="G947">
        <v>58809</v>
      </c>
      <c r="H947">
        <v>21</v>
      </c>
      <c r="I947" t="s">
        <v>180</v>
      </c>
      <c r="J947" s="9">
        <v>42277</v>
      </c>
      <c r="K947" s="1">
        <v>2800.4285709999999</v>
      </c>
      <c r="L947" s="1" t="s">
        <v>167</v>
      </c>
    </row>
    <row r="948" spans="1:12" x14ac:dyDescent="0.25">
      <c r="A948" t="s">
        <v>154</v>
      </c>
      <c r="B948" t="s">
        <v>181</v>
      </c>
      <c r="C948" t="s">
        <v>35</v>
      </c>
      <c r="D948" t="s">
        <v>87</v>
      </c>
      <c r="E948" t="s">
        <v>9</v>
      </c>
      <c r="F948" t="s">
        <v>6</v>
      </c>
      <c r="G948">
        <v>196700</v>
      </c>
      <c r="H948">
        <v>42</v>
      </c>
      <c r="I948" t="s">
        <v>81</v>
      </c>
      <c r="J948" s="9">
        <v>42277</v>
      </c>
      <c r="K948" s="1">
        <v>4683.3333329999996</v>
      </c>
      <c r="L948" s="1" t="s">
        <v>165</v>
      </c>
    </row>
    <row r="949" spans="1:12" x14ac:dyDescent="0.25">
      <c r="A949" t="s">
        <v>154</v>
      </c>
      <c r="B949" t="s">
        <v>181</v>
      </c>
      <c r="C949" t="s">
        <v>24</v>
      </c>
      <c r="D949" t="s">
        <v>162</v>
      </c>
      <c r="E949" t="s">
        <v>5</v>
      </c>
      <c r="F949" t="s">
        <v>6</v>
      </c>
      <c r="G949">
        <v>103421</v>
      </c>
      <c r="H949">
        <v>42</v>
      </c>
      <c r="I949" t="s">
        <v>79</v>
      </c>
      <c r="J949" s="9">
        <v>42277</v>
      </c>
      <c r="K949" s="1">
        <v>2462.4047620000001</v>
      </c>
      <c r="L949" s="1" t="s">
        <v>165</v>
      </c>
    </row>
    <row r="950" spans="1:12" x14ac:dyDescent="0.25">
      <c r="A950" t="s">
        <v>154</v>
      </c>
      <c r="B950" t="s">
        <v>181</v>
      </c>
      <c r="C950" t="s">
        <v>123</v>
      </c>
      <c r="D950" t="s">
        <v>91</v>
      </c>
      <c r="E950" t="s">
        <v>9</v>
      </c>
      <c r="F950" t="s">
        <v>6</v>
      </c>
      <c r="G950">
        <v>71008</v>
      </c>
      <c r="H950">
        <v>21</v>
      </c>
      <c r="I950" t="s">
        <v>180</v>
      </c>
      <c r="J950" s="9">
        <v>42248</v>
      </c>
      <c r="K950" s="1">
        <v>3381.333333</v>
      </c>
      <c r="L950" s="1" t="s">
        <v>167</v>
      </c>
    </row>
    <row r="951" spans="1:12" x14ac:dyDescent="0.25">
      <c r="A951" t="s">
        <v>154</v>
      </c>
      <c r="B951" t="s">
        <v>181</v>
      </c>
      <c r="C951" t="s">
        <v>64</v>
      </c>
      <c r="D951" t="s">
        <v>91</v>
      </c>
      <c r="E951" t="s">
        <v>9</v>
      </c>
      <c r="F951" t="s">
        <v>6</v>
      </c>
      <c r="G951">
        <v>183822</v>
      </c>
      <c r="H951">
        <v>18</v>
      </c>
      <c r="I951" t="s">
        <v>79</v>
      </c>
      <c r="J951" s="9">
        <v>42271</v>
      </c>
      <c r="K951" s="1">
        <v>10212.333329999999</v>
      </c>
      <c r="L951" s="1" t="s">
        <v>165</v>
      </c>
    </row>
    <row r="952" spans="1:12" x14ac:dyDescent="0.25">
      <c r="A952" t="s">
        <v>154</v>
      </c>
      <c r="B952" t="s">
        <v>181</v>
      </c>
      <c r="C952" t="s">
        <v>185</v>
      </c>
      <c r="D952" t="s">
        <v>162</v>
      </c>
      <c r="E952" t="s">
        <v>5</v>
      </c>
      <c r="F952" t="s">
        <v>7</v>
      </c>
      <c r="G952">
        <v>167160</v>
      </c>
      <c r="H952">
        <v>17</v>
      </c>
      <c r="I952" t="s">
        <v>82</v>
      </c>
      <c r="J952" s="9">
        <v>42277</v>
      </c>
      <c r="K952" s="1">
        <v>9832.9411760000003</v>
      </c>
      <c r="L952" s="1" t="s">
        <v>165</v>
      </c>
    </row>
    <row r="953" spans="1:12" x14ac:dyDescent="0.25">
      <c r="A953" t="s">
        <v>154</v>
      </c>
      <c r="B953" t="s">
        <v>181</v>
      </c>
      <c r="C953" t="s">
        <v>118</v>
      </c>
      <c r="D953" t="s">
        <v>162</v>
      </c>
      <c r="E953" t="s">
        <v>5</v>
      </c>
      <c r="F953" t="s">
        <v>7</v>
      </c>
      <c r="G953">
        <v>94315</v>
      </c>
      <c r="H953">
        <v>21</v>
      </c>
      <c r="I953" t="s">
        <v>81</v>
      </c>
      <c r="J953" s="9">
        <v>42272</v>
      </c>
      <c r="K953" s="1">
        <v>4491.1904759999998</v>
      </c>
      <c r="L953" s="1" t="s">
        <v>167</v>
      </c>
    </row>
    <row r="954" spans="1:12" x14ac:dyDescent="0.25">
      <c r="A954" t="s">
        <v>154</v>
      </c>
      <c r="B954" t="s">
        <v>181</v>
      </c>
      <c r="C954" t="s">
        <v>124</v>
      </c>
      <c r="D954" t="s">
        <v>162</v>
      </c>
      <c r="E954" t="s">
        <v>5</v>
      </c>
      <c r="F954" t="s">
        <v>7</v>
      </c>
      <c r="G954">
        <v>52010</v>
      </c>
      <c r="H954">
        <v>41</v>
      </c>
      <c r="I954" t="s">
        <v>81</v>
      </c>
      <c r="J954" s="9">
        <v>42277</v>
      </c>
      <c r="K954" s="1">
        <v>1268.5365850000001</v>
      </c>
      <c r="L954" s="1" t="s">
        <v>167</v>
      </c>
    </row>
    <row r="955" spans="1:12" x14ac:dyDescent="0.25">
      <c r="A955" t="s">
        <v>154</v>
      </c>
      <c r="B955" t="s">
        <v>181</v>
      </c>
      <c r="C955" t="s">
        <v>142</v>
      </c>
      <c r="D955" t="s">
        <v>88</v>
      </c>
      <c r="E955" t="s">
        <v>9</v>
      </c>
      <c r="F955" t="s">
        <v>6</v>
      </c>
      <c r="G955">
        <v>213876</v>
      </c>
      <c r="H955">
        <v>27</v>
      </c>
      <c r="I955" t="s">
        <v>81</v>
      </c>
      <c r="J955" s="9">
        <v>42263</v>
      </c>
      <c r="K955" s="1">
        <v>7921.3333329999996</v>
      </c>
      <c r="L955" s="1" t="s">
        <v>166</v>
      </c>
    </row>
    <row r="956" spans="1:12" x14ac:dyDescent="0.25">
      <c r="A956" t="s">
        <v>154</v>
      </c>
      <c r="B956" t="s">
        <v>181</v>
      </c>
      <c r="C956" t="s">
        <v>184</v>
      </c>
      <c r="D956" t="s">
        <v>86</v>
      </c>
      <c r="E956" t="s">
        <v>9</v>
      </c>
      <c r="F956" t="s">
        <v>10</v>
      </c>
      <c r="G956">
        <v>64161</v>
      </c>
      <c r="H956">
        <v>42</v>
      </c>
      <c r="I956" t="s">
        <v>81</v>
      </c>
      <c r="J956" s="9">
        <v>42270</v>
      </c>
      <c r="K956" s="1">
        <v>1527.642857</v>
      </c>
      <c r="L956" s="1" t="s">
        <v>167</v>
      </c>
    </row>
    <row r="957" spans="1:12" x14ac:dyDescent="0.25">
      <c r="A957" t="s">
        <v>154</v>
      </c>
      <c r="B957" t="s">
        <v>181</v>
      </c>
      <c r="C957" t="s">
        <v>13</v>
      </c>
      <c r="D957" t="s">
        <v>89</v>
      </c>
      <c r="E957" t="s">
        <v>9</v>
      </c>
      <c r="F957" t="s">
        <v>6</v>
      </c>
      <c r="G957">
        <v>125873</v>
      </c>
      <c r="H957">
        <v>32</v>
      </c>
      <c r="I957" t="s">
        <v>81</v>
      </c>
      <c r="J957" s="9">
        <v>42277</v>
      </c>
      <c r="K957" s="1">
        <v>3933.53125</v>
      </c>
      <c r="L957" s="1" t="s">
        <v>165</v>
      </c>
    </row>
    <row r="958" spans="1:12" x14ac:dyDescent="0.25">
      <c r="A958" t="s">
        <v>154</v>
      </c>
      <c r="B958" t="s">
        <v>181</v>
      </c>
      <c r="C958" t="s">
        <v>118</v>
      </c>
      <c r="D958" t="s">
        <v>162</v>
      </c>
      <c r="E958" t="s">
        <v>5</v>
      </c>
      <c r="F958" t="s">
        <v>7</v>
      </c>
      <c r="G958">
        <v>189120</v>
      </c>
      <c r="H958">
        <v>33</v>
      </c>
      <c r="I958" t="s">
        <v>82</v>
      </c>
      <c r="J958" s="9">
        <v>42272</v>
      </c>
      <c r="K958" s="1">
        <v>5730.9090910000004</v>
      </c>
      <c r="L958" s="1" t="s">
        <v>165</v>
      </c>
    </row>
    <row r="959" spans="1:12" x14ac:dyDescent="0.25">
      <c r="A959" t="s">
        <v>154</v>
      </c>
      <c r="B959" t="s">
        <v>181</v>
      </c>
      <c r="C959" t="s">
        <v>32</v>
      </c>
      <c r="D959" t="s">
        <v>162</v>
      </c>
      <c r="E959" t="s">
        <v>5</v>
      </c>
      <c r="F959" t="s">
        <v>7</v>
      </c>
      <c r="G959">
        <v>177900</v>
      </c>
      <c r="H959">
        <v>42</v>
      </c>
      <c r="I959" t="s">
        <v>93</v>
      </c>
      <c r="J959" s="9">
        <v>42277</v>
      </c>
      <c r="K959" s="1">
        <v>4235.7142860000004</v>
      </c>
      <c r="L959" s="1" t="s">
        <v>165</v>
      </c>
    </row>
    <row r="960" spans="1:12" x14ac:dyDescent="0.25">
      <c r="A960" t="s">
        <v>154</v>
      </c>
      <c r="B960" t="s">
        <v>181</v>
      </c>
      <c r="C960" t="s">
        <v>34</v>
      </c>
      <c r="D960" t="s">
        <v>87</v>
      </c>
      <c r="E960" t="s">
        <v>9</v>
      </c>
      <c r="F960" t="s">
        <v>6</v>
      </c>
      <c r="G960">
        <v>118792</v>
      </c>
      <c r="H960">
        <v>24</v>
      </c>
      <c r="I960" t="s">
        <v>81</v>
      </c>
      <c r="J960" s="9">
        <v>42268</v>
      </c>
      <c r="K960" s="1">
        <v>4949.6666670000004</v>
      </c>
      <c r="L960" s="1" t="s">
        <v>165</v>
      </c>
    </row>
    <row r="961" spans="1:12" x14ac:dyDescent="0.25">
      <c r="A961" t="s">
        <v>154</v>
      </c>
      <c r="B961" t="s">
        <v>181</v>
      </c>
      <c r="C961" t="s">
        <v>123</v>
      </c>
      <c r="D961" t="s">
        <v>91</v>
      </c>
      <c r="E961" t="s">
        <v>9</v>
      </c>
      <c r="F961" t="s">
        <v>6</v>
      </c>
      <c r="G961">
        <v>110943</v>
      </c>
      <c r="H961">
        <v>32</v>
      </c>
      <c r="I961" t="s">
        <v>81</v>
      </c>
      <c r="J961" s="9">
        <v>42248</v>
      </c>
      <c r="K961" s="1">
        <v>3466.96875</v>
      </c>
      <c r="L961" s="1" t="s">
        <v>165</v>
      </c>
    </row>
    <row r="962" spans="1:12" x14ac:dyDescent="0.25">
      <c r="A962" t="s">
        <v>154</v>
      </c>
      <c r="B962" t="s">
        <v>181</v>
      </c>
      <c r="C962" t="s">
        <v>183</v>
      </c>
      <c r="D962" t="s">
        <v>91</v>
      </c>
      <c r="E962" t="s">
        <v>9</v>
      </c>
      <c r="F962" t="s">
        <v>6</v>
      </c>
      <c r="G962">
        <v>197143</v>
      </c>
      <c r="H962">
        <v>15</v>
      </c>
      <c r="I962" t="s">
        <v>81</v>
      </c>
      <c r="J962" s="9">
        <v>42264</v>
      </c>
      <c r="K962" s="1">
        <v>13142.866669999999</v>
      </c>
      <c r="L962" s="1" t="s">
        <v>165</v>
      </c>
    </row>
    <row r="963" spans="1:12" x14ac:dyDescent="0.25">
      <c r="A963" t="s">
        <v>154</v>
      </c>
      <c r="B963" t="s">
        <v>181</v>
      </c>
      <c r="C963" t="s">
        <v>15</v>
      </c>
      <c r="D963" t="s">
        <v>162</v>
      </c>
      <c r="E963" t="s">
        <v>5</v>
      </c>
      <c r="F963" t="s">
        <v>7</v>
      </c>
      <c r="G963">
        <v>141747</v>
      </c>
      <c r="H963">
        <v>38</v>
      </c>
      <c r="I963" t="s">
        <v>81</v>
      </c>
      <c r="J963" s="9">
        <v>42272</v>
      </c>
      <c r="K963" s="1">
        <v>3730.1842109999998</v>
      </c>
      <c r="L963" s="1" t="s">
        <v>165</v>
      </c>
    </row>
    <row r="964" spans="1:12" x14ac:dyDescent="0.25">
      <c r="A964" t="s">
        <v>154</v>
      </c>
      <c r="B964" t="s">
        <v>181</v>
      </c>
      <c r="C964" t="s">
        <v>124</v>
      </c>
      <c r="D964" t="s">
        <v>162</v>
      </c>
      <c r="E964" t="s">
        <v>5</v>
      </c>
      <c r="F964" t="s">
        <v>7</v>
      </c>
      <c r="G964">
        <v>137392</v>
      </c>
      <c r="H964">
        <v>42</v>
      </c>
      <c r="I964" t="s">
        <v>79</v>
      </c>
      <c r="J964" s="9">
        <v>42277</v>
      </c>
      <c r="K964" s="1">
        <v>3271.2380950000002</v>
      </c>
      <c r="L964" s="1" t="s">
        <v>165</v>
      </c>
    </row>
    <row r="965" spans="1:12" x14ac:dyDescent="0.25">
      <c r="A965" t="s">
        <v>154</v>
      </c>
      <c r="B965" t="s">
        <v>181</v>
      </c>
      <c r="C965" t="s">
        <v>182</v>
      </c>
      <c r="D965" t="s">
        <v>91</v>
      </c>
      <c r="E965" t="s">
        <v>9</v>
      </c>
      <c r="F965" t="s">
        <v>6</v>
      </c>
      <c r="G965">
        <v>100104</v>
      </c>
      <c r="H965">
        <v>18</v>
      </c>
      <c r="I965" t="s">
        <v>79</v>
      </c>
      <c r="J965" s="9">
        <v>42277</v>
      </c>
      <c r="K965" s="1">
        <v>5561.3333329999996</v>
      </c>
      <c r="L965" s="1" t="s">
        <v>165</v>
      </c>
    </row>
    <row r="966" spans="1:12" x14ac:dyDescent="0.25">
      <c r="A966" t="s">
        <v>154</v>
      </c>
      <c r="B966" t="s">
        <v>181</v>
      </c>
      <c r="C966" t="s">
        <v>28</v>
      </c>
      <c r="D966" t="s">
        <v>88</v>
      </c>
      <c r="E966" t="s">
        <v>9</v>
      </c>
      <c r="F966" t="s">
        <v>6</v>
      </c>
      <c r="G966">
        <v>196880</v>
      </c>
      <c r="H966">
        <v>31</v>
      </c>
      <c r="I966" t="s">
        <v>79</v>
      </c>
      <c r="J966" s="9">
        <v>42277</v>
      </c>
      <c r="K966" s="1">
        <v>6350.9677419999998</v>
      </c>
      <c r="L966" s="1" t="s">
        <v>165</v>
      </c>
    </row>
    <row r="967" spans="1:12" x14ac:dyDescent="0.25">
      <c r="A967" t="s">
        <v>154</v>
      </c>
      <c r="B967" t="s">
        <v>181</v>
      </c>
      <c r="C967" t="s">
        <v>31</v>
      </c>
      <c r="D967" t="s">
        <v>89</v>
      </c>
      <c r="E967" t="s">
        <v>9</v>
      </c>
      <c r="F967" t="s">
        <v>6</v>
      </c>
      <c r="G967">
        <v>76962</v>
      </c>
      <c r="H967">
        <v>31</v>
      </c>
      <c r="I967" t="s">
        <v>180</v>
      </c>
      <c r="J967" s="9">
        <v>42271</v>
      </c>
      <c r="K967" s="1">
        <v>2482.6451609999999</v>
      </c>
      <c r="L967" s="1" t="s">
        <v>167</v>
      </c>
    </row>
    <row r="968" spans="1:12" x14ac:dyDescent="0.25">
      <c r="A968" t="s">
        <v>154</v>
      </c>
      <c r="B968" t="s">
        <v>181</v>
      </c>
      <c r="C968" t="s">
        <v>130</v>
      </c>
      <c r="D968" t="s">
        <v>86</v>
      </c>
      <c r="E968" t="s">
        <v>5</v>
      </c>
      <c r="F968" t="s">
        <v>7</v>
      </c>
      <c r="G968">
        <v>206331</v>
      </c>
      <c r="H968">
        <v>23</v>
      </c>
      <c r="I968" t="s">
        <v>82</v>
      </c>
      <c r="J968" s="9">
        <v>42277</v>
      </c>
      <c r="K968" s="1">
        <v>8970.9130430000005</v>
      </c>
      <c r="L968" s="1" t="s">
        <v>166</v>
      </c>
    </row>
    <row r="969" spans="1:12" x14ac:dyDescent="0.25">
      <c r="A969" t="s">
        <v>154</v>
      </c>
      <c r="B969" t="s">
        <v>181</v>
      </c>
      <c r="C969" t="s">
        <v>35</v>
      </c>
      <c r="D969" t="s">
        <v>89</v>
      </c>
      <c r="E969" t="s">
        <v>9</v>
      </c>
      <c r="F969" t="s">
        <v>7</v>
      </c>
      <c r="G969">
        <v>172224</v>
      </c>
      <c r="H969">
        <v>29</v>
      </c>
      <c r="I969" t="s">
        <v>180</v>
      </c>
      <c r="J969" s="9">
        <v>42277</v>
      </c>
      <c r="K969" s="1">
        <v>5938.7586209999999</v>
      </c>
      <c r="L969" s="1" t="s">
        <v>165</v>
      </c>
    </row>
    <row r="970" spans="1:12" x14ac:dyDescent="0.25">
      <c r="A970" t="s">
        <v>154</v>
      </c>
      <c r="B970" t="s">
        <v>181</v>
      </c>
      <c r="C970" t="s">
        <v>33</v>
      </c>
      <c r="D970" t="s">
        <v>89</v>
      </c>
      <c r="E970" t="s">
        <v>9</v>
      </c>
      <c r="F970" t="s">
        <v>6</v>
      </c>
      <c r="G970">
        <v>166110</v>
      </c>
      <c r="H970">
        <v>38</v>
      </c>
      <c r="I970" t="s">
        <v>79</v>
      </c>
      <c r="J970" s="9">
        <v>42269</v>
      </c>
      <c r="K970" s="1">
        <v>4371.3157890000002</v>
      </c>
      <c r="L970" s="1" t="s">
        <v>165</v>
      </c>
    </row>
    <row r="971" spans="1:12" x14ac:dyDescent="0.25">
      <c r="A971" t="s">
        <v>154</v>
      </c>
      <c r="B971" t="s">
        <v>181</v>
      </c>
      <c r="C971" t="s">
        <v>129</v>
      </c>
      <c r="D971" t="s">
        <v>89</v>
      </c>
      <c r="E971" t="s">
        <v>9</v>
      </c>
      <c r="F971" t="s">
        <v>6</v>
      </c>
      <c r="G971">
        <v>180222</v>
      </c>
      <c r="H971">
        <v>16</v>
      </c>
      <c r="I971" t="s">
        <v>93</v>
      </c>
      <c r="J971" s="9">
        <v>42277</v>
      </c>
      <c r="K971" s="1">
        <v>11263.875</v>
      </c>
      <c r="L971" s="1" t="s">
        <v>165</v>
      </c>
    </row>
    <row r="972" spans="1:12" x14ac:dyDescent="0.25">
      <c r="A972" t="s">
        <v>154</v>
      </c>
      <c r="B972" t="s">
        <v>181</v>
      </c>
      <c r="C972" t="s">
        <v>142</v>
      </c>
      <c r="D972" t="s">
        <v>88</v>
      </c>
      <c r="E972" t="s">
        <v>9</v>
      </c>
      <c r="F972" t="s">
        <v>6</v>
      </c>
      <c r="G972">
        <v>121164</v>
      </c>
      <c r="H972">
        <v>35</v>
      </c>
      <c r="I972" t="s">
        <v>81</v>
      </c>
      <c r="J972" s="9">
        <v>42277</v>
      </c>
      <c r="K972" s="1">
        <v>3461.828571</v>
      </c>
      <c r="L972" s="1" t="s">
        <v>165</v>
      </c>
    </row>
    <row r="973" spans="1:12" x14ac:dyDescent="0.25">
      <c r="A973" t="s">
        <v>154</v>
      </c>
      <c r="B973" t="s">
        <v>181</v>
      </c>
      <c r="C973" t="s">
        <v>4</v>
      </c>
      <c r="D973" t="s">
        <v>163</v>
      </c>
      <c r="E973" t="s">
        <v>5</v>
      </c>
      <c r="F973" t="s">
        <v>7</v>
      </c>
      <c r="G973">
        <v>173915</v>
      </c>
      <c r="H973">
        <v>31</v>
      </c>
      <c r="I973" t="s">
        <v>79</v>
      </c>
      <c r="J973" s="9">
        <v>42277</v>
      </c>
      <c r="K973" s="1">
        <v>5610.16129</v>
      </c>
      <c r="L973" s="1" t="s">
        <v>165</v>
      </c>
    </row>
    <row r="974" spans="1:12" x14ac:dyDescent="0.25">
      <c r="A974" t="s">
        <v>154</v>
      </c>
      <c r="B974" t="s">
        <v>181</v>
      </c>
      <c r="C974" t="s">
        <v>4</v>
      </c>
      <c r="D974" t="s">
        <v>163</v>
      </c>
      <c r="E974" t="s">
        <v>5</v>
      </c>
      <c r="F974" t="s">
        <v>7</v>
      </c>
      <c r="G974">
        <v>74471</v>
      </c>
      <c r="H974">
        <v>24</v>
      </c>
      <c r="I974" t="s">
        <v>81</v>
      </c>
      <c r="J974" s="9">
        <v>42277</v>
      </c>
      <c r="K974" s="1">
        <v>3102.958333</v>
      </c>
      <c r="L974" s="1" t="s">
        <v>167</v>
      </c>
    </row>
    <row r="975" spans="1:12" x14ac:dyDescent="0.25">
      <c r="A975" t="s">
        <v>154</v>
      </c>
      <c r="B975" t="s">
        <v>181</v>
      </c>
      <c r="C975" t="s">
        <v>65</v>
      </c>
      <c r="D975" t="s">
        <v>88</v>
      </c>
      <c r="E975" t="s">
        <v>9</v>
      </c>
      <c r="F975" t="s">
        <v>6</v>
      </c>
      <c r="G975">
        <v>169409</v>
      </c>
      <c r="H975">
        <v>41</v>
      </c>
      <c r="I975" t="s">
        <v>180</v>
      </c>
      <c r="J975" s="9">
        <v>42277</v>
      </c>
      <c r="K975" s="1">
        <v>4131.926829</v>
      </c>
      <c r="L975" s="1" t="s">
        <v>165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5EFE0-7B4D-4834-B3BA-3D2BF7C4F076}">
  <sheetPr>
    <tabColor rgb="FF00B0F0"/>
  </sheetPr>
  <dimension ref="A2:K28"/>
  <sheetViews>
    <sheetView workbookViewId="0">
      <selection activeCell="N16" sqref="N16"/>
    </sheetView>
  </sheetViews>
  <sheetFormatPr baseColWidth="10" defaultRowHeight="15" x14ac:dyDescent="0.25"/>
  <cols>
    <col min="1" max="1" width="17.5703125" bestFit="1" customWidth="1"/>
    <col min="2" max="2" width="9.85546875" bestFit="1" customWidth="1"/>
    <col min="3" max="3" width="15.7109375" bestFit="1" customWidth="1"/>
    <col min="4" max="4" width="12.5703125" bestFit="1" customWidth="1"/>
    <col min="7" max="7" width="21.85546875" bestFit="1" customWidth="1"/>
    <col min="8" max="8" width="15.5703125" bestFit="1" customWidth="1"/>
  </cols>
  <sheetData>
    <row r="2" spans="1:8" ht="15.75" x14ac:dyDescent="0.25">
      <c r="A2" s="5" t="s">
        <v>1</v>
      </c>
      <c r="B2" t="s">
        <v>177</v>
      </c>
      <c r="F2" s="24" t="s">
        <v>204</v>
      </c>
      <c r="G2" s="24"/>
    </row>
    <row r="4" spans="1:8" x14ac:dyDescent="0.25">
      <c r="A4" s="5" t="s">
        <v>174</v>
      </c>
      <c r="B4" t="s">
        <v>202</v>
      </c>
      <c r="C4" s="11" t="s">
        <v>201</v>
      </c>
      <c r="D4" t="s">
        <v>200</v>
      </c>
    </row>
    <row r="5" spans="1:8" x14ac:dyDescent="0.25">
      <c r="A5" s="6" t="s">
        <v>162</v>
      </c>
      <c r="B5">
        <v>7141</v>
      </c>
      <c r="C5" s="16">
        <v>1502230.6777530005</v>
      </c>
      <c r="D5" s="8">
        <v>0.2644650688652237</v>
      </c>
      <c r="F5" s="3" t="str">
        <f>Datos_Peru!M12</f>
        <v>Vendedor</v>
      </c>
      <c r="G5" s="3" t="str">
        <f>Datos_Peru!N12</f>
        <v>Operaciones/vendedor</v>
      </c>
      <c r="H5" s="12" t="str">
        <f>Datos_Peru!O12</f>
        <v>Total_vendido</v>
      </c>
    </row>
    <row r="6" spans="1:8" x14ac:dyDescent="0.25">
      <c r="A6" s="6" t="s">
        <v>91</v>
      </c>
      <c r="B6">
        <v>4839</v>
      </c>
      <c r="C6" s="16">
        <v>996452.64952099964</v>
      </c>
      <c r="D6" s="8">
        <v>0.17405356551140069</v>
      </c>
      <c r="F6" s="3" t="str">
        <f>Datos_Peru!M13</f>
        <v>Jose</v>
      </c>
      <c r="G6" s="3">
        <f>Datos_Peru!N13</f>
        <v>93</v>
      </c>
      <c r="H6" s="17">
        <f>Datos_Peru!O13</f>
        <v>13535221</v>
      </c>
    </row>
    <row r="7" spans="1:8" x14ac:dyDescent="0.25">
      <c r="A7" s="6" t="s">
        <v>88</v>
      </c>
      <c r="B7">
        <v>2666</v>
      </c>
      <c r="C7" s="16">
        <v>610458.90014399996</v>
      </c>
      <c r="D7" s="8">
        <v>0.11005015127147223</v>
      </c>
      <c r="F7" s="3" t="str">
        <f>Datos_Peru!M14</f>
        <v>Victor</v>
      </c>
      <c r="G7" s="3">
        <f>Datos_Peru!N14</f>
        <v>254</v>
      </c>
      <c r="H7" s="17">
        <f>Datos_Peru!O14</f>
        <v>38761317</v>
      </c>
    </row>
    <row r="8" spans="1:8" x14ac:dyDescent="0.25">
      <c r="A8" s="6" t="s">
        <v>161</v>
      </c>
      <c r="B8">
        <v>2598</v>
      </c>
      <c r="C8" s="16">
        <v>531318.97280999995</v>
      </c>
      <c r="D8" s="8">
        <v>9.2349626661834591E-2</v>
      </c>
      <c r="F8" s="3" t="str">
        <f>Datos_Peru!M15</f>
        <v>Edwin</v>
      </c>
      <c r="G8" s="3">
        <f>Datos_Peru!N15</f>
        <v>93</v>
      </c>
      <c r="H8" s="17">
        <f>Datos_Peru!O15</f>
        <v>13149429</v>
      </c>
    </row>
    <row r="9" spans="1:8" x14ac:dyDescent="0.25">
      <c r="A9" s="6" t="s">
        <v>86</v>
      </c>
      <c r="B9">
        <v>2570</v>
      </c>
      <c r="C9" s="16">
        <v>526207.93183500005</v>
      </c>
      <c r="D9" s="8">
        <v>8.9717401656485771E-2</v>
      </c>
      <c r="F9" s="3" t="str">
        <f>Datos_Peru!M16</f>
        <v>Nadia</v>
      </c>
      <c r="G9" s="3">
        <f>Datos_Peru!N16</f>
        <v>83</v>
      </c>
      <c r="H9" s="17">
        <f>Datos_Peru!O16</f>
        <v>12271934</v>
      </c>
    </row>
    <row r="10" spans="1:8" x14ac:dyDescent="0.25">
      <c r="A10" s="6" t="s">
        <v>89</v>
      </c>
      <c r="B10">
        <v>2377</v>
      </c>
      <c r="C10" s="16">
        <v>463782.23409300006</v>
      </c>
      <c r="D10" s="8">
        <v>8.3730330174784318E-2</v>
      </c>
      <c r="F10" s="3" t="str">
        <f>Datos_Peru!M17</f>
        <v>Marco</v>
      </c>
      <c r="G10" s="3">
        <f>Datos_Peru!N17</f>
        <v>93</v>
      </c>
      <c r="H10" s="17">
        <f>Datos_Peru!O17</f>
        <v>16129498</v>
      </c>
    </row>
    <row r="11" spans="1:8" x14ac:dyDescent="0.25">
      <c r="A11" s="6" t="s">
        <v>87</v>
      </c>
      <c r="B11">
        <v>2401</v>
      </c>
      <c r="C11" s="16">
        <v>432896.76977900002</v>
      </c>
      <c r="D11" s="8">
        <v>8.0902608261572556E-2</v>
      </c>
      <c r="F11" s="3" t="str">
        <f>Datos_Peru!M18</f>
        <v>Maria</v>
      </c>
      <c r="G11" s="3">
        <f>Datos_Peru!N18</f>
        <v>80</v>
      </c>
      <c r="H11" s="17">
        <f>Datos_Peru!O18</f>
        <v>11510967</v>
      </c>
    </row>
    <row r="12" spans="1:8" x14ac:dyDescent="0.25">
      <c r="A12" s="6" t="s">
        <v>163</v>
      </c>
      <c r="B12">
        <v>2162</v>
      </c>
      <c r="C12" s="16">
        <v>462454.86178100022</v>
      </c>
      <c r="D12" s="8">
        <v>7.8538319024617192E-2</v>
      </c>
      <c r="F12" s="3" t="str">
        <f>Datos_Peru!M19</f>
        <v>Rosa</v>
      </c>
      <c r="G12" s="3">
        <f>Datos_Peru!N19</f>
        <v>80</v>
      </c>
      <c r="H12" s="17">
        <f>Datos_Peru!O19</f>
        <v>11857489</v>
      </c>
    </row>
    <row r="13" spans="1:8" x14ac:dyDescent="0.25">
      <c r="A13" s="6" t="s">
        <v>85</v>
      </c>
      <c r="B13">
        <v>752</v>
      </c>
      <c r="C13" s="16">
        <v>146369.24039000002</v>
      </c>
      <c r="D13" s="8">
        <v>2.6192928572608937E-2</v>
      </c>
      <c r="F13" s="3" t="str">
        <f>Datos_Peru!M20</f>
        <v>Javier</v>
      </c>
      <c r="G13" s="3">
        <f>Datos_Peru!N20</f>
        <v>26</v>
      </c>
      <c r="H13" s="17">
        <f>Datos_Peru!O20</f>
        <v>3838966</v>
      </c>
    </row>
    <row r="14" spans="1:8" x14ac:dyDescent="0.25">
      <c r="A14" s="6" t="s">
        <v>175</v>
      </c>
      <c r="B14">
        <v>27506</v>
      </c>
      <c r="C14">
        <v>5672172.2381060012</v>
      </c>
      <c r="D14" s="8">
        <v>1</v>
      </c>
      <c r="F14" s="3" t="str">
        <f>Datos_Peru!M21</f>
        <v>Nora</v>
      </c>
      <c r="G14" s="3">
        <f>Datos_Peru!N21</f>
        <v>172</v>
      </c>
      <c r="H14" s="17">
        <f>Datos_Peru!O21</f>
        <v>25510157</v>
      </c>
    </row>
    <row r="17" spans="6:11" ht="15" customHeight="1" x14ac:dyDescent="0.25">
      <c r="F17" s="22" t="s">
        <v>203</v>
      </c>
      <c r="G17" s="22"/>
      <c r="H17" s="22"/>
      <c r="I17" s="22"/>
      <c r="J17" s="22"/>
      <c r="K17" s="22"/>
    </row>
    <row r="18" spans="6:11" x14ac:dyDescent="0.25">
      <c r="F18" s="22"/>
      <c r="G18" s="22"/>
      <c r="H18" s="22"/>
      <c r="I18" s="22"/>
      <c r="J18" s="22"/>
      <c r="K18" s="22"/>
    </row>
    <row r="19" spans="6:11" x14ac:dyDescent="0.25">
      <c r="F19" s="22"/>
      <c r="G19" s="22"/>
      <c r="H19" s="22"/>
      <c r="I19" s="22"/>
      <c r="J19" s="22"/>
      <c r="K19" s="22"/>
    </row>
    <row r="20" spans="6:11" x14ac:dyDescent="0.25">
      <c r="F20" s="22"/>
      <c r="G20" s="22"/>
      <c r="H20" s="22"/>
      <c r="I20" s="22"/>
      <c r="J20" s="22"/>
      <c r="K20" s="22"/>
    </row>
    <row r="23" spans="6:11" x14ac:dyDescent="0.25">
      <c r="F23" s="23" t="s">
        <v>231</v>
      </c>
      <c r="G23" s="23"/>
      <c r="H23" s="23"/>
      <c r="I23" s="23"/>
      <c r="J23" s="23"/>
      <c r="K23" s="23"/>
    </row>
    <row r="24" spans="6:11" x14ac:dyDescent="0.25">
      <c r="F24" s="23"/>
      <c r="G24" s="23"/>
      <c r="H24" s="23"/>
      <c r="I24" s="23"/>
      <c r="J24" s="23"/>
      <c r="K24" s="23"/>
    </row>
    <row r="26" spans="6:11" ht="15" customHeight="1" x14ac:dyDescent="0.25">
      <c r="F26" s="23" t="s">
        <v>230</v>
      </c>
      <c r="G26" s="23"/>
      <c r="H26" s="23"/>
      <c r="I26" s="23"/>
      <c r="J26" s="23"/>
      <c r="K26" s="23"/>
    </row>
    <row r="27" spans="6:11" x14ac:dyDescent="0.25">
      <c r="F27" s="23"/>
      <c r="G27" s="23"/>
      <c r="H27" s="23"/>
      <c r="I27" s="23"/>
      <c r="J27" s="23"/>
      <c r="K27" s="23"/>
    </row>
    <row r="28" spans="6:11" x14ac:dyDescent="0.25">
      <c r="F28" s="23"/>
      <c r="G28" s="23"/>
      <c r="H28" s="23"/>
      <c r="I28" s="23"/>
      <c r="J28" s="23"/>
      <c r="K28" s="23"/>
    </row>
  </sheetData>
  <mergeCells count="4">
    <mergeCell ref="F17:K20"/>
    <mergeCell ref="F23:K24"/>
    <mergeCell ref="F26:K28"/>
    <mergeCell ref="F2:G2"/>
  </mergeCells>
  <conditionalFormatting sqref="F5:H14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{A0AC89FE-750F-4724-9941-48FE38D16C63}</x14:id>
        </ext>
      </extLst>
    </cfRule>
  </conditionalFormatting>
  <conditionalFormatting sqref="G6:G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AC89FE-750F-4724-9941-48FE38D16C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F5:H14</xm:sqref>
        </x14:conditionalFormatting>
      </x14:conditionalFormatting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65FFD-BE8A-4440-9030-3555961244D5}">
  <sheetPr>
    <tabColor rgb="FFFFFF00"/>
  </sheetPr>
  <dimension ref="A2:I90"/>
  <sheetViews>
    <sheetView workbookViewId="0">
      <selection activeCell="M20" sqref="M20"/>
    </sheetView>
  </sheetViews>
  <sheetFormatPr baseColWidth="10" defaultRowHeight="15" x14ac:dyDescent="0.25"/>
  <cols>
    <col min="1" max="1" width="23" bestFit="1" customWidth="1"/>
    <col min="2" max="2" width="17.140625" style="21" bestFit="1" customWidth="1"/>
    <col min="3" max="3" width="9.85546875" style="11" bestFit="1" customWidth="1"/>
    <col min="4" max="4" width="12.5703125" style="11" bestFit="1" customWidth="1"/>
    <col min="5" max="5" width="9.85546875" bestFit="1" customWidth="1"/>
    <col min="6" max="6" width="16.5703125" bestFit="1" customWidth="1"/>
    <col min="7" max="7" width="21.28515625" bestFit="1" customWidth="1"/>
    <col min="8" max="8" width="16.28515625" bestFit="1" customWidth="1"/>
    <col min="9" max="9" width="18.7109375" bestFit="1" customWidth="1"/>
  </cols>
  <sheetData>
    <row r="2" spans="1:9" x14ac:dyDescent="0.25">
      <c r="A2" s="5" t="s">
        <v>0</v>
      </c>
      <c r="B2" s="21" t="s">
        <v>177</v>
      </c>
    </row>
    <row r="3" spans="1:9" ht="15.75" x14ac:dyDescent="0.25">
      <c r="F3" s="25" t="s">
        <v>232</v>
      </c>
      <c r="G3" s="25"/>
      <c r="H3" s="19"/>
    </row>
    <row r="4" spans="1:9" x14ac:dyDescent="0.25">
      <c r="A4" s="5" t="s">
        <v>174</v>
      </c>
      <c r="B4" s="21" t="s">
        <v>201</v>
      </c>
      <c r="C4" s="11" t="s">
        <v>202</v>
      </c>
      <c r="D4" s="11" t="s">
        <v>200</v>
      </c>
    </row>
    <row r="5" spans="1:9" x14ac:dyDescent="0.25">
      <c r="A5" s="6" t="s">
        <v>199</v>
      </c>
      <c r="D5" s="8"/>
      <c r="F5" s="3" t="s">
        <v>78</v>
      </c>
      <c r="G5" s="3" t="s">
        <v>170</v>
      </c>
      <c r="H5" s="3" t="s">
        <v>171</v>
      </c>
      <c r="I5" s="3" t="s">
        <v>173</v>
      </c>
    </row>
    <row r="6" spans="1:9" x14ac:dyDescent="0.25">
      <c r="A6" s="7" t="s">
        <v>210</v>
      </c>
      <c r="D6" s="8"/>
      <c r="F6" s="3" t="s">
        <v>79</v>
      </c>
      <c r="G6" s="3">
        <v>370</v>
      </c>
      <c r="H6" s="15">
        <v>55047421</v>
      </c>
      <c r="I6" s="13">
        <v>148776.813513514</v>
      </c>
    </row>
    <row r="7" spans="1:9" x14ac:dyDescent="0.25">
      <c r="A7" s="10" t="s">
        <v>79</v>
      </c>
      <c r="B7" s="20">
        <v>533718.05008700001</v>
      </c>
      <c r="C7" s="11">
        <v>2582</v>
      </c>
      <c r="D7" s="8">
        <v>9.4377130121767558E-2</v>
      </c>
      <c r="F7" s="3" t="s">
        <v>93</v>
      </c>
      <c r="G7" s="3">
        <v>75</v>
      </c>
      <c r="H7" s="15">
        <v>12129272</v>
      </c>
      <c r="I7" s="13">
        <v>161723.62666666668</v>
      </c>
    </row>
    <row r="8" spans="1:9" x14ac:dyDescent="0.25">
      <c r="A8" s="10" t="s">
        <v>82</v>
      </c>
      <c r="B8" s="18">
        <v>71244.791361000011</v>
      </c>
      <c r="C8" s="11">
        <v>419</v>
      </c>
      <c r="D8" s="8">
        <v>1.3806135869648205E-2</v>
      </c>
      <c r="F8" s="3" t="s">
        <v>81</v>
      </c>
      <c r="G8" s="3">
        <v>244</v>
      </c>
      <c r="H8" s="15">
        <v>37398809</v>
      </c>
      <c r="I8" s="13">
        <v>153273.80737704918</v>
      </c>
    </row>
    <row r="9" spans="1:9" x14ac:dyDescent="0.25">
      <c r="A9" s="10" t="s">
        <v>180</v>
      </c>
      <c r="B9" s="18">
        <v>297947.54583900009</v>
      </c>
      <c r="C9" s="11">
        <v>1268</v>
      </c>
      <c r="D9" s="8">
        <v>4.9943786707353784E-2</v>
      </c>
      <c r="F9" s="3" t="s">
        <v>82</v>
      </c>
      <c r="G9" s="3">
        <v>85</v>
      </c>
      <c r="H9" s="15">
        <v>11862587</v>
      </c>
      <c r="I9" s="13">
        <v>139559.84705882354</v>
      </c>
    </row>
    <row r="10" spans="1:9" x14ac:dyDescent="0.25">
      <c r="A10" s="10" t="s">
        <v>81</v>
      </c>
      <c r="B10" s="18">
        <v>322826.64236100001</v>
      </c>
      <c r="C10" s="11">
        <v>1652</v>
      </c>
      <c r="D10" s="8">
        <v>5.9762708114349118E-2</v>
      </c>
      <c r="F10" s="3" t="s">
        <v>169</v>
      </c>
      <c r="G10" s="3">
        <v>200</v>
      </c>
      <c r="H10" s="15">
        <v>30126889</v>
      </c>
      <c r="I10" s="13">
        <v>150634.44500000001</v>
      </c>
    </row>
    <row r="11" spans="1:9" x14ac:dyDescent="0.25">
      <c r="A11" s="10" t="s">
        <v>93</v>
      </c>
      <c r="B11" s="18">
        <v>80612.968854999999</v>
      </c>
      <c r="C11" s="11">
        <v>348</v>
      </c>
      <c r="D11" s="8">
        <v>1.5717950027597998E-2</v>
      </c>
    </row>
    <row r="12" spans="1:9" x14ac:dyDescent="0.25">
      <c r="A12" s="7" t="s">
        <v>216</v>
      </c>
      <c r="B12" s="16">
        <v>1306349.9985030002</v>
      </c>
      <c r="C12" s="11">
        <v>6269</v>
      </c>
      <c r="D12" s="8">
        <v>0.23360771084071666</v>
      </c>
    </row>
    <row r="13" spans="1:9" x14ac:dyDescent="0.25">
      <c r="A13" s="7" t="s">
        <v>211</v>
      </c>
      <c r="D13" s="8"/>
      <c r="F13" s="23" t="s">
        <v>233</v>
      </c>
      <c r="G13" s="23"/>
      <c r="H13" s="23"/>
      <c r="I13" s="23"/>
    </row>
    <row r="14" spans="1:9" x14ac:dyDescent="0.25">
      <c r="A14" s="10" t="s">
        <v>79</v>
      </c>
      <c r="B14" s="16">
        <v>168033.71677200001</v>
      </c>
      <c r="C14" s="11">
        <v>626</v>
      </c>
      <c r="D14" s="8">
        <v>2.6288776845448031E-2</v>
      </c>
      <c r="F14" s="23"/>
      <c r="G14" s="23"/>
      <c r="H14" s="23"/>
      <c r="I14" s="23"/>
    </row>
    <row r="15" spans="1:9" x14ac:dyDescent="0.25">
      <c r="A15" s="10" t="s">
        <v>82</v>
      </c>
      <c r="B15" s="16">
        <v>31564.682045000001</v>
      </c>
      <c r="C15" s="11">
        <v>168</v>
      </c>
      <c r="D15" s="8">
        <v>5.5250306795665742E-3</v>
      </c>
    </row>
    <row r="16" spans="1:9" x14ac:dyDescent="0.25">
      <c r="A16" s="10" t="s">
        <v>180</v>
      </c>
      <c r="B16" s="16">
        <v>150406.35867999998</v>
      </c>
      <c r="C16" s="11">
        <v>757</v>
      </c>
      <c r="D16" s="8">
        <v>2.6661628537207573E-2</v>
      </c>
      <c r="F16" s="23" t="s">
        <v>234</v>
      </c>
      <c r="G16" s="23"/>
      <c r="H16" s="23"/>
      <c r="I16" s="23"/>
    </row>
    <row r="17" spans="1:9" x14ac:dyDescent="0.25">
      <c r="A17" s="10" t="s">
        <v>81</v>
      </c>
      <c r="B17" s="16">
        <v>92845.89705900001</v>
      </c>
      <c r="C17" s="11">
        <v>480</v>
      </c>
      <c r="D17" s="8">
        <v>1.7427055459319891E-2</v>
      </c>
      <c r="F17" s="23"/>
      <c r="G17" s="23"/>
      <c r="H17" s="23"/>
      <c r="I17" s="23"/>
    </row>
    <row r="18" spans="1:9" x14ac:dyDescent="0.25">
      <c r="A18" s="10" t="s">
        <v>93</v>
      </c>
      <c r="B18" s="16">
        <v>83725.279920000001</v>
      </c>
      <c r="C18" s="11">
        <v>372</v>
      </c>
      <c r="D18" s="8">
        <v>1.5665747925128471E-2</v>
      </c>
    </row>
    <row r="19" spans="1:9" ht="15" customHeight="1" x14ac:dyDescent="0.25">
      <c r="A19" s="7" t="s">
        <v>217</v>
      </c>
      <c r="B19" s="16">
        <v>526575.93447600002</v>
      </c>
      <c r="C19" s="11">
        <v>2403</v>
      </c>
      <c r="D19" s="8">
        <v>9.1568239446670543E-2</v>
      </c>
      <c r="F19" s="23" t="s">
        <v>235</v>
      </c>
      <c r="G19" s="23"/>
      <c r="H19" s="23"/>
      <c r="I19" s="23"/>
    </row>
    <row r="20" spans="1:9" x14ac:dyDescent="0.25">
      <c r="A20" s="7" t="s">
        <v>212</v>
      </c>
      <c r="D20" s="8"/>
      <c r="F20" s="23"/>
      <c r="G20" s="23"/>
      <c r="H20" s="23"/>
      <c r="I20" s="23"/>
    </row>
    <row r="21" spans="1:9" x14ac:dyDescent="0.25">
      <c r="A21" s="10" t="s">
        <v>79</v>
      </c>
      <c r="B21" s="16">
        <v>359552.96893900004</v>
      </c>
      <c r="C21" s="11">
        <v>1563</v>
      </c>
      <c r="D21" s="8">
        <v>5.8959371590121622E-2</v>
      </c>
      <c r="F21" s="23"/>
      <c r="G21" s="23"/>
      <c r="H21" s="23"/>
      <c r="I21" s="23"/>
    </row>
    <row r="22" spans="1:9" x14ac:dyDescent="0.25">
      <c r="A22" s="10" t="s">
        <v>82</v>
      </c>
      <c r="B22" s="16">
        <v>124395.42107799998</v>
      </c>
      <c r="C22" s="11">
        <v>520</v>
      </c>
      <c r="D22" s="8">
        <v>1.9965172034481525E-2</v>
      </c>
    </row>
    <row r="23" spans="1:9" x14ac:dyDescent="0.25">
      <c r="A23" s="10" t="s">
        <v>180</v>
      </c>
      <c r="B23" s="16">
        <v>159870.857277</v>
      </c>
      <c r="C23" s="11">
        <v>807</v>
      </c>
      <c r="D23" s="8">
        <v>2.9571580190187043E-2</v>
      </c>
      <c r="F23" s="23" t="s">
        <v>236</v>
      </c>
      <c r="G23" s="23"/>
      <c r="H23" s="23"/>
      <c r="I23" s="23"/>
    </row>
    <row r="24" spans="1:9" x14ac:dyDescent="0.25">
      <c r="A24" s="10" t="s">
        <v>81</v>
      </c>
      <c r="B24" s="16">
        <v>299638.08199799998</v>
      </c>
      <c r="C24" s="11">
        <v>1428</v>
      </c>
      <c r="D24" s="8">
        <v>5.1898039380185355E-2</v>
      </c>
      <c r="F24" s="23"/>
      <c r="G24" s="23"/>
      <c r="H24" s="23"/>
      <c r="I24" s="23"/>
    </row>
    <row r="25" spans="1:9" x14ac:dyDescent="0.25">
      <c r="A25" s="10" t="s">
        <v>93</v>
      </c>
      <c r="B25" s="16">
        <v>56502.104885000001</v>
      </c>
      <c r="C25" s="11">
        <v>260</v>
      </c>
      <c r="D25" s="8">
        <v>8.629278407833554E-3</v>
      </c>
      <c r="F25" s="23"/>
      <c r="G25" s="23"/>
      <c r="H25" s="23"/>
      <c r="I25" s="23"/>
    </row>
    <row r="26" spans="1:9" x14ac:dyDescent="0.25">
      <c r="A26" s="7" t="s">
        <v>218</v>
      </c>
      <c r="B26" s="16">
        <v>999959.43417700008</v>
      </c>
      <c r="C26" s="11">
        <v>4578</v>
      </c>
      <c r="D26" s="8">
        <v>0.1690234416028091</v>
      </c>
    </row>
    <row r="27" spans="1:9" x14ac:dyDescent="0.25">
      <c r="A27" s="7" t="s">
        <v>213</v>
      </c>
      <c r="D27" s="8"/>
    </row>
    <row r="28" spans="1:9" x14ac:dyDescent="0.25">
      <c r="A28" s="10" t="s">
        <v>79</v>
      </c>
      <c r="B28" s="16">
        <v>93061.356088999979</v>
      </c>
      <c r="C28" s="11">
        <v>486</v>
      </c>
      <c r="D28" s="8">
        <v>1.622401226028226E-2</v>
      </c>
    </row>
    <row r="29" spans="1:9" x14ac:dyDescent="0.25">
      <c r="A29" s="10" t="s">
        <v>82</v>
      </c>
      <c r="B29" s="16">
        <v>34531.899527000001</v>
      </c>
      <c r="C29" s="11">
        <v>191</v>
      </c>
      <c r="D29" s="8">
        <v>6.6185866039566426E-3</v>
      </c>
    </row>
    <row r="30" spans="1:9" x14ac:dyDescent="0.25">
      <c r="A30" s="10" t="s">
        <v>180</v>
      </c>
      <c r="B30" s="16">
        <v>122350.34680199999</v>
      </c>
      <c r="C30" s="11">
        <v>619</v>
      </c>
      <c r="D30" s="8">
        <v>2.2585184026705205E-2</v>
      </c>
    </row>
    <row r="31" spans="1:9" x14ac:dyDescent="0.25">
      <c r="A31" s="10" t="s">
        <v>81</v>
      </c>
      <c r="B31" s="16">
        <v>97708.50937</v>
      </c>
      <c r="C31" s="11">
        <v>414</v>
      </c>
      <c r="D31" s="8">
        <v>1.6348639577457583E-2</v>
      </c>
    </row>
    <row r="32" spans="1:9" x14ac:dyDescent="0.25">
      <c r="A32" s="10" t="s">
        <v>93</v>
      </c>
      <c r="B32" s="16">
        <v>36130.568461999996</v>
      </c>
      <c r="C32" s="11">
        <v>86</v>
      </c>
      <c r="D32" s="8">
        <v>5.0823328339734746E-3</v>
      </c>
    </row>
    <row r="33" spans="1:4" x14ac:dyDescent="0.25">
      <c r="A33" s="7" t="s">
        <v>219</v>
      </c>
      <c r="B33" s="16">
        <v>383782.68024999998</v>
      </c>
      <c r="C33" s="11">
        <v>1796</v>
      </c>
      <c r="D33" s="8">
        <v>6.6858755302375172E-2</v>
      </c>
    </row>
    <row r="34" spans="1:4" x14ac:dyDescent="0.25">
      <c r="A34" s="7" t="s">
        <v>214</v>
      </c>
      <c r="D34" s="8"/>
    </row>
    <row r="35" spans="1:4" x14ac:dyDescent="0.25">
      <c r="A35" s="10" t="s">
        <v>79</v>
      </c>
      <c r="B35" s="16">
        <v>94669.593645999994</v>
      </c>
      <c r="C35" s="11">
        <v>473</v>
      </c>
      <c r="D35" s="8">
        <v>1.721145142873081E-2</v>
      </c>
    </row>
    <row r="36" spans="1:4" x14ac:dyDescent="0.25">
      <c r="A36" s="10" t="s">
        <v>82</v>
      </c>
      <c r="B36" s="16">
        <v>10136.980357</v>
      </c>
      <c r="C36" s="11">
        <v>91</v>
      </c>
      <c r="D36" s="8">
        <v>2.1737662322031666E-3</v>
      </c>
    </row>
    <row r="37" spans="1:4" x14ac:dyDescent="0.25">
      <c r="A37" s="10" t="s">
        <v>180</v>
      </c>
      <c r="B37" s="16">
        <v>23804.406616</v>
      </c>
      <c r="C37" s="11">
        <v>244</v>
      </c>
      <c r="D37" s="8">
        <v>5.5216055775616467E-3</v>
      </c>
    </row>
    <row r="38" spans="1:4" x14ac:dyDescent="0.25">
      <c r="A38" s="10" t="s">
        <v>81</v>
      </c>
      <c r="B38" s="16">
        <v>59173.821949000005</v>
      </c>
      <c r="C38" s="11">
        <v>292</v>
      </c>
      <c r="D38" s="8">
        <v>9.4782943303140261E-3</v>
      </c>
    </row>
    <row r="39" spans="1:4" x14ac:dyDescent="0.25">
      <c r="A39" s="7" t="s">
        <v>220</v>
      </c>
      <c r="B39" s="16">
        <v>187784.80256799998</v>
      </c>
      <c r="C39" s="11">
        <v>1100</v>
      </c>
      <c r="D39" s="8">
        <v>3.4385117568809652E-2</v>
      </c>
    </row>
    <row r="40" spans="1:4" x14ac:dyDescent="0.25">
      <c r="A40" s="7" t="s">
        <v>215</v>
      </c>
      <c r="D40" s="8"/>
    </row>
    <row r="41" spans="1:4" x14ac:dyDescent="0.25">
      <c r="A41" s="10" t="s">
        <v>79</v>
      </c>
      <c r="B41" s="16">
        <v>158137.76325199998</v>
      </c>
      <c r="C41" s="11">
        <v>706</v>
      </c>
      <c r="D41" s="8">
        <v>2.6873091059993883E-2</v>
      </c>
    </row>
    <row r="42" spans="1:4" x14ac:dyDescent="0.25">
      <c r="A42" s="10" t="s">
        <v>82</v>
      </c>
      <c r="B42" s="16">
        <v>58738.223698000009</v>
      </c>
      <c r="C42" s="11">
        <v>299</v>
      </c>
      <c r="D42" s="8">
        <v>1.1230302234958203E-2</v>
      </c>
    </row>
    <row r="43" spans="1:4" x14ac:dyDescent="0.25">
      <c r="A43" s="10" t="s">
        <v>180</v>
      </c>
      <c r="B43" s="16">
        <v>138696.891584</v>
      </c>
      <c r="C43" s="11">
        <v>749</v>
      </c>
      <c r="D43" s="8">
        <v>2.5376655806546092E-2</v>
      </c>
    </row>
    <row r="44" spans="1:4" x14ac:dyDescent="0.25">
      <c r="A44" s="10" t="s">
        <v>81</v>
      </c>
      <c r="B44" s="16">
        <v>68750.330751999994</v>
      </c>
      <c r="C44" s="11">
        <v>297</v>
      </c>
      <c r="D44" s="8">
        <v>1.2026345065872421E-2</v>
      </c>
    </row>
    <row r="45" spans="1:4" x14ac:dyDescent="0.25">
      <c r="A45" s="10" t="s">
        <v>93</v>
      </c>
      <c r="B45" s="16">
        <v>37094.505401000002</v>
      </c>
      <c r="C45" s="11">
        <v>195</v>
      </c>
      <c r="D45" s="8">
        <v>6.762120211282671E-3</v>
      </c>
    </row>
    <row r="46" spans="1:4" x14ac:dyDescent="0.25">
      <c r="A46" s="7" t="s">
        <v>221</v>
      </c>
      <c r="B46" s="16">
        <v>461417.71468700003</v>
      </c>
      <c r="C46" s="11">
        <v>2246</v>
      </c>
      <c r="D46" s="8">
        <v>8.2268514378653262E-2</v>
      </c>
    </row>
    <row r="47" spans="1:4" x14ac:dyDescent="0.25">
      <c r="A47" s="6" t="s">
        <v>222</v>
      </c>
      <c r="B47" s="16">
        <v>3865870.5646610004</v>
      </c>
      <c r="C47" s="11">
        <v>18392</v>
      </c>
      <c r="D47" s="8">
        <v>0.67771177914003444</v>
      </c>
    </row>
    <row r="48" spans="1:4" x14ac:dyDescent="0.25">
      <c r="A48" s="6" t="s">
        <v>178</v>
      </c>
      <c r="D48" s="8"/>
    </row>
    <row r="49" spans="1:4" x14ac:dyDescent="0.25">
      <c r="A49" s="7" t="s">
        <v>179</v>
      </c>
      <c r="D49" s="8"/>
    </row>
    <row r="50" spans="1:4" x14ac:dyDescent="0.25">
      <c r="A50" s="10" t="s">
        <v>79</v>
      </c>
      <c r="B50" s="16">
        <v>366495.238549</v>
      </c>
      <c r="C50" s="11">
        <v>1897</v>
      </c>
      <c r="D50" s="8">
        <v>6.4840237618020866E-2</v>
      </c>
    </row>
    <row r="51" spans="1:4" x14ac:dyDescent="0.25">
      <c r="A51" s="10" t="s">
        <v>82</v>
      </c>
      <c r="B51" s="16">
        <v>33992.860752000001</v>
      </c>
      <c r="C51" s="11">
        <v>276</v>
      </c>
      <c r="D51" s="8">
        <v>6.7229566943338946E-3</v>
      </c>
    </row>
    <row r="52" spans="1:4" x14ac:dyDescent="0.25">
      <c r="A52" s="10" t="s">
        <v>180</v>
      </c>
      <c r="B52" s="16">
        <v>92820.168484000009</v>
      </c>
      <c r="C52" s="11">
        <v>493</v>
      </c>
      <c r="D52" s="8">
        <v>1.6432725149387324E-2</v>
      </c>
    </row>
    <row r="53" spans="1:4" x14ac:dyDescent="0.25">
      <c r="A53" s="10" t="s">
        <v>81</v>
      </c>
      <c r="B53" s="16">
        <v>259799.25731799987</v>
      </c>
      <c r="C53" s="11">
        <v>1337</v>
      </c>
      <c r="D53" s="8">
        <v>4.6536308285052924E-2</v>
      </c>
    </row>
    <row r="54" spans="1:4" x14ac:dyDescent="0.25">
      <c r="A54" s="10" t="s">
        <v>93</v>
      </c>
      <c r="B54" s="16">
        <v>28134.394983999999</v>
      </c>
      <c r="C54" s="11">
        <v>142</v>
      </c>
      <c r="D54" s="8">
        <v>5.0451002012226959E-3</v>
      </c>
    </row>
    <row r="55" spans="1:4" x14ac:dyDescent="0.25">
      <c r="A55" s="7" t="s">
        <v>223</v>
      </c>
      <c r="B55" s="16">
        <v>781241.92008699989</v>
      </c>
      <c r="C55" s="11">
        <v>4145</v>
      </c>
      <c r="D55" s="8">
        <v>0.13957732794801769</v>
      </c>
    </row>
    <row r="56" spans="1:4" x14ac:dyDescent="0.25">
      <c r="A56" s="7" t="s">
        <v>205</v>
      </c>
      <c r="D56" s="8"/>
    </row>
    <row r="57" spans="1:4" x14ac:dyDescent="0.25">
      <c r="A57" s="10" t="s">
        <v>79</v>
      </c>
      <c r="B57" s="16">
        <v>87922.049002999993</v>
      </c>
      <c r="C57" s="11">
        <v>386</v>
      </c>
      <c r="D57" s="8">
        <v>1.5219420290159632E-2</v>
      </c>
    </row>
    <row r="58" spans="1:4" x14ac:dyDescent="0.25">
      <c r="A58" s="10" t="s">
        <v>82</v>
      </c>
      <c r="B58" s="16">
        <v>42839.784051000002</v>
      </c>
      <c r="C58" s="11">
        <v>165</v>
      </c>
      <c r="D58" s="8">
        <v>6.5125585458758097E-3</v>
      </c>
    </row>
    <row r="59" spans="1:4" x14ac:dyDescent="0.25">
      <c r="A59" s="10" t="s">
        <v>180</v>
      </c>
      <c r="B59" s="16">
        <v>42095.569076</v>
      </c>
      <c r="C59" s="11">
        <v>204</v>
      </c>
      <c r="D59" s="8">
        <v>7.2371518385517721E-3</v>
      </c>
    </row>
    <row r="60" spans="1:4" x14ac:dyDescent="0.25">
      <c r="A60" s="10" t="s">
        <v>81</v>
      </c>
      <c r="B60" s="16">
        <v>41098.627875999999</v>
      </c>
      <c r="C60" s="11">
        <v>152</v>
      </c>
      <c r="D60" s="8">
        <v>6.7690249985914094E-3</v>
      </c>
    </row>
    <row r="61" spans="1:4" x14ac:dyDescent="0.25">
      <c r="A61" s="10" t="s">
        <v>93</v>
      </c>
      <c r="B61" s="16">
        <v>25189.945328000002</v>
      </c>
      <c r="C61" s="11">
        <v>117</v>
      </c>
      <c r="D61" s="8">
        <v>4.9856726345634903E-3</v>
      </c>
    </row>
    <row r="62" spans="1:4" x14ac:dyDescent="0.25">
      <c r="A62" s="7" t="s">
        <v>224</v>
      </c>
      <c r="B62" s="16">
        <v>239145.97533400002</v>
      </c>
      <c r="C62" s="11">
        <v>1024</v>
      </c>
      <c r="D62" s="8">
        <v>4.0723828307742113E-2</v>
      </c>
    </row>
    <row r="63" spans="1:4" x14ac:dyDescent="0.25">
      <c r="A63" s="7" t="s">
        <v>206</v>
      </c>
      <c r="D63" s="8"/>
    </row>
    <row r="64" spans="1:4" x14ac:dyDescent="0.25">
      <c r="A64" s="10" t="s">
        <v>79</v>
      </c>
      <c r="B64" s="16">
        <v>106725.684291</v>
      </c>
      <c r="C64" s="11">
        <v>585</v>
      </c>
      <c r="D64" s="8">
        <v>2.0179459242985046E-2</v>
      </c>
    </row>
    <row r="65" spans="1:4" x14ac:dyDescent="0.25">
      <c r="A65" s="10" t="s">
        <v>82</v>
      </c>
      <c r="B65" s="16">
        <v>42762.478153999997</v>
      </c>
      <c r="C65" s="11">
        <v>180</v>
      </c>
      <c r="D65" s="8">
        <v>7.0570201293244832E-3</v>
      </c>
    </row>
    <row r="66" spans="1:4" x14ac:dyDescent="0.25">
      <c r="A66" s="10" t="s">
        <v>180</v>
      </c>
      <c r="B66" s="16">
        <v>43724.204297999997</v>
      </c>
      <c r="C66" s="11">
        <v>315</v>
      </c>
      <c r="D66" s="8">
        <v>1.0398821197243996E-2</v>
      </c>
    </row>
    <row r="67" spans="1:4" x14ac:dyDescent="0.25">
      <c r="A67" s="10" t="s">
        <v>81</v>
      </c>
      <c r="B67" s="16">
        <v>62162.547283000007</v>
      </c>
      <c r="C67" s="11">
        <v>265</v>
      </c>
      <c r="D67" s="8">
        <v>1.0152930258687038E-2</v>
      </c>
    </row>
    <row r="68" spans="1:4" x14ac:dyDescent="0.25">
      <c r="A68" s="10" t="s">
        <v>93</v>
      </c>
      <c r="B68" s="16">
        <v>34471.508749000001</v>
      </c>
      <c r="C68" s="11">
        <v>178</v>
      </c>
      <c r="D68" s="8">
        <v>6.3492316697922203E-3</v>
      </c>
    </row>
    <row r="69" spans="1:4" x14ac:dyDescent="0.25">
      <c r="A69" s="7" t="s">
        <v>225</v>
      </c>
      <c r="B69" s="16">
        <v>289846.42277499998</v>
      </c>
      <c r="C69" s="11">
        <v>1523</v>
      </c>
      <c r="D69" s="8">
        <v>5.4137462498032786E-2</v>
      </c>
    </row>
    <row r="70" spans="1:4" x14ac:dyDescent="0.25">
      <c r="A70" s="7" t="s">
        <v>207</v>
      </c>
      <c r="D70" s="8"/>
    </row>
    <row r="71" spans="1:4" x14ac:dyDescent="0.25">
      <c r="A71" s="10" t="s">
        <v>79</v>
      </c>
      <c r="B71" s="16">
        <v>7222.0833329999996</v>
      </c>
      <c r="C71" s="11">
        <v>24</v>
      </c>
      <c r="D71" s="8">
        <v>1.1826153994305515E-3</v>
      </c>
    </row>
    <row r="72" spans="1:4" x14ac:dyDescent="0.25">
      <c r="A72" s="10" t="s">
        <v>81</v>
      </c>
      <c r="B72" s="16">
        <v>15166.829152</v>
      </c>
      <c r="C72" s="11">
        <v>58</v>
      </c>
      <c r="D72" s="8">
        <v>2.9558766760774185E-3</v>
      </c>
    </row>
    <row r="73" spans="1:4" x14ac:dyDescent="0.25">
      <c r="A73" s="10" t="s">
        <v>93</v>
      </c>
      <c r="B73" s="16">
        <v>35684.600314000003</v>
      </c>
      <c r="C73" s="11">
        <v>132</v>
      </c>
      <c r="D73" s="8">
        <v>5.6497671633396621E-3</v>
      </c>
    </row>
    <row r="74" spans="1:4" x14ac:dyDescent="0.25">
      <c r="A74" s="7" t="s">
        <v>226</v>
      </c>
      <c r="B74" s="16">
        <v>58073.512799000004</v>
      </c>
      <c r="C74" s="11">
        <v>214</v>
      </c>
      <c r="D74" s="8">
        <v>9.7882592388476332E-3</v>
      </c>
    </row>
    <row r="75" spans="1:4" x14ac:dyDescent="0.25">
      <c r="A75" s="7" t="s">
        <v>208</v>
      </c>
      <c r="D75" s="8"/>
    </row>
    <row r="76" spans="1:4" x14ac:dyDescent="0.25">
      <c r="A76" s="10" t="s">
        <v>79</v>
      </c>
      <c r="B76" s="16">
        <v>50461.530285999994</v>
      </c>
      <c r="C76" s="11">
        <v>282</v>
      </c>
      <c r="D76" s="8">
        <v>9.8530564375344833E-3</v>
      </c>
    </row>
    <row r="77" spans="1:4" x14ac:dyDescent="0.25">
      <c r="A77" s="10" t="s">
        <v>82</v>
      </c>
      <c r="B77" s="16">
        <v>2757.772727</v>
      </c>
      <c r="C77" s="11">
        <v>22</v>
      </c>
      <c r="D77" s="8">
        <v>4.1395291581867533E-4</v>
      </c>
    </row>
    <row r="78" spans="1:4" x14ac:dyDescent="0.25">
      <c r="A78" s="10" t="s">
        <v>180</v>
      </c>
      <c r="B78" s="16">
        <v>7545.3333329999996</v>
      </c>
      <c r="C78" s="11">
        <v>18</v>
      </c>
      <c r="D78" s="8">
        <v>9.2666066514198223E-4</v>
      </c>
    </row>
    <row r="79" spans="1:4" x14ac:dyDescent="0.25">
      <c r="A79" s="10" t="s">
        <v>81</v>
      </c>
      <c r="B79" s="16">
        <v>58130.249303000004</v>
      </c>
      <c r="C79" s="11">
        <v>262</v>
      </c>
      <c r="D79" s="8">
        <v>1.031301625139943E-2</v>
      </c>
    </row>
    <row r="80" spans="1:4" x14ac:dyDescent="0.25">
      <c r="A80" s="10" t="s">
        <v>93</v>
      </c>
      <c r="B80" s="16">
        <v>33665.753274000002</v>
      </c>
      <c r="C80" s="11">
        <v>180</v>
      </c>
      <c r="D80" s="8">
        <v>6.422987352408295E-3</v>
      </c>
    </row>
    <row r="81" spans="1:4" x14ac:dyDescent="0.25">
      <c r="A81" s="7" t="s">
        <v>227</v>
      </c>
      <c r="B81" s="16">
        <v>152560.63892300002</v>
      </c>
      <c r="C81" s="11">
        <v>764</v>
      </c>
      <c r="D81" s="8">
        <v>2.7929673622302868E-2</v>
      </c>
    </row>
    <row r="82" spans="1:4" x14ac:dyDescent="0.25">
      <c r="A82" s="7" t="s">
        <v>209</v>
      </c>
      <c r="D82" s="8"/>
    </row>
    <row r="83" spans="1:4" x14ac:dyDescent="0.25">
      <c r="A83" s="10" t="s">
        <v>79</v>
      </c>
      <c r="B83" s="16">
        <v>127951.319525</v>
      </c>
      <c r="C83" s="11">
        <v>745</v>
      </c>
      <c r="D83" s="8">
        <v>2.4375106855336205E-2</v>
      </c>
    </row>
    <row r="84" spans="1:4" x14ac:dyDescent="0.25">
      <c r="A84" s="10" t="s">
        <v>82</v>
      </c>
      <c r="B84" s="16">
        <v>4638.1226850000003</v>
      </c>
      <c r="C84" s="11">
        <v>59</v>
      </c>
      <c r="D84" s="8">
        <v>9.1190952861876728E-4</v>
      </c>
    </row>
    <row r="85" spans="1:4" x14ac:dyDescent="0.25">
      <c r="A85" s="10" t="s">
        <v>180</v>
      </c>
      <c r="B85" s="16">
        <v>70933.322710000008</v>
      </c>
      <c r="C85" s="11">
        <v>241</v>
      </c>
      <c r="D85" s="8">
        <v>1.0897323643032921E-2</v>
      </c>
    </row>
    <row r="86" spans="1:4" x14ac:dyDescent="0.25">
      <c r="A86" s="10" t="s">
        <v>81</v>
      </c>
      <c r="B86" s="16">
        <v>68642.142741000003</v>
      </c>
      <c r="C86" s="11">
        <v>309</v>
      </c>
      <c r="D86" s="8">
        <v>1.1500557793554201E-2</v>
      </c>
    </row>
    <row r="87" spans="1:4" x14ac:dyDescent="0.25">
      <c r="A87" s="10" t="s">
        <v>93</v>
      </c>
      <c r="B87" s="16">
        <v>13268.295866</v>
      </c>
      <c r="C87" s="11">
        <v>90</v>
      </c>
      <c r="D87" s="8">
        <v>2.4467714244804104E-3</v>
      </c>
    </row>
    <row r="88" spans="1:4" x14ac:dyDescent="0.25">
      <c r="A88" s="7" t="s">
        <v>228</v>
      </c>
      <c r="B88" s="16">
        <v>285433.20352700003</v>
      </c>
      <c r="C88" s="11">
        <v>1444</v>
      </c>
      <c r="D88" s="8">
        <v>5.0131669245022506E-2</v>
      </c>
    </row>
    <row r="89" spans="1:4" x14ac:dyDescent="0.25">
      <c r="A89" s="6" t="s">
        <v>229</v>
      </c>
      <c r="B89" s="16">
        <v>1806301.6734450003</v>
      </c>
      <c r="C89" s="11">
        <v>9114</v>
      </c>
      <c r="D89" s="8">
        <v>0.32228822085996561</v>
      </c>
    </row>
    <row r="90" spans="1:4" x14ac:dyDescent="0.25">
      <c r="A90" s="6" t="s">
        <v>175</v>
      </c>
      <c r="B90" s="21">
        <v>5672172.2381059993</v>
      </c>
      <c r="C90" s="11">
        <v>27506</v>
      </c>
      <c r="D90" s="8">
        <v>1</v>
      </c>
    </row>
  </sheetData>
  <mergeCells count="5">
    <mergeCell ref="F23:I25"/>
    <mergeCell ref="F3:G3"/>
    <mergeCell ref="F13:I14"/>
    <mergeCell ref="F16:I17"/>
    <mergeCell ref="F19:I21"/>
  </mergeCells>
  <conditionalFormatting sqref="G6:G10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6:H10">
    <cfRule type="colorScale" priority="3">
      <colorScale>
        <cfvo type="min"/>
        <cfvo type="max"/>
        <color rgb="FFFFEF9C"/>
        <color rgb="FF63BE7B"/>
      </colorScale>
    </cfRule>
  </conditionalFormatting>
  <conditionalFormatting sqref="I6:I10">
    <cfRule type="colorScale" priority="2">
      <colorScale>
        <cfvo type="min"/>
        <cfvo type="max"/>
        <color rgb="FFFFEF9C"/>
        <color rgb="FF63BE7B"/>
      </colorScale>
    </cfRule>
  </conditionalFormatting>
  <conditionalFormatting pivot="1" sqref="D7:D11 D12 D19 D14:D18 D19 D26 D21:D25 D26 D33 D28:D32 D33 D39 D35:D38 D39 D46 D41:D45 D46 D47 D89 D55 D50:D54 D55 D62 D57:D61 D62 D69 D64:D68 D69 D74 D71:D73 D74 D81 D76:D80 D81 D88 D83:D87 D88 D89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DE099-D273-44F0-8506-86BAACE336B1}">
  <sheetPr>
    <tabColor rgb="FF00B050"/>
  </sheetPr>
  <dimension ref="A2:H24"/>
  <sheetViews>
    <sheetView workbookViewId="0">
      <selection activeCell="N19" sqref="N19"/>
    </sheetView>
  </sheetViews>
  <sheetFormatPr baseColWidth="10" defaultRowHeight="15" x14ac:dyDescent="0.25"/>
  <cols>
    <col min="1" max="1" width="17.5703125" bestFit="1" customWidth="1"/>
    <col min="2" max="2" width="10" bestFit="1" customWidth="1"/>
    <col min="3" max="3" width="15.85546875" bestFit="1" customWidth="1"/>
    <col min="4" max="4" width="16.7109375" bestFit="1" customWidth="1"/>
    <col min="7" max="7" width="15.5703125" bestFit="1" customWidth="1"/>
    <col min="8" max="8" width="20.85546875" customWidth="1"/>
  </cols>
  <sheetData>
    <row r="2" spans="1:8" ht="15.75" x14ac:dyDescent="0.25">
      <c r="G2" s="25" t="s">
        <v>237</v>
      </c>
      <c r="H2" s="25"/>
    </row>
    <row r="3" spans="1:8" x14ac:dyDescent="0.25">
      <c r="A3" s="5" t="s">
        <v>1</v>
      </c>
      <c r="B3" s="5" t="s">
        <v>158</v>
      </c>
      <c r="C3" t="s">
        <v>201</v>
      </c>
      <c r="D3" t="s">
        <v>200</v>
      </c>
    </row>
    <row r="4" spans="1:8" x14ac:dyDescent="0.25">
      <c r="A4" t="s">
        <v>5</v>
      </c>
      <c r="F4" s="3" t="s">
        <v>1</v>
      </c>
      <c r="G4" s="3" t="s">
        <v>164</v>
      </c>
      <c r="H4" s="3" t="s">
        <v>172</v>
      </c>
    </row>
    <row r="5" spans="1:8" x14ac:dyDescent="0.25">
      <c r="B5" t="s">
        <v>151</v>
      </c>
      <c r="C5" s="18">
        <v>488415.16375999991</v>
      </c>
      <c r="D5" s="18">
        <v>12713440</v>
      </c>
      <c r="F5" s="3" t="s">
        <v>5</v>
      </c>
      <c r="G5" s="13">
        <v>61386576</v>
      </c>
      <c r="H5" s="14">
        <v>149359.06569343101</v>
      </c>
    </row>
    <row r="6" spans="1:8" x14ac:dyDescent="0.25">
      <c r="B6" t="s">
        <v>153</v>
      </c>
      <c r="C6" s="18">
        <v>275851.28783100011</v>
      </c>
      <c r="D6" s="18">
        <v>6854694</v>
      </c>
      <c r="F6" s="3" t="s">
        <v>9</v>
      </c>
      <c r="G6" s="13">
        <v>85178402</v>
      </c>
      <c r="H6" s="14">
        <v>151293.78685612799</v>
      </c>
    </row>
    <row r="7" spans="1:8" x14ac:dyDescent="0.25">
      <c r="B7" t="s">
        <v>152</v>
      </c>
      <c r="C7" s="18">
        <v>389764.8148900001</v>
      </c>
      <c r="D7" s="18">
        <v>9756492</v>
      </c>
    </row>
    <row r="8" spans="1:8" ht="15" customHeight="1" x14ac:dyDescent="0.25">
      <c r="B8" t="s">
        <v>150</v>
      </c>
      <c r="C8" s="18">
        <v>150102.649236</v>
      </c>
      <c r="D8" s="18">
        <v>3746066</v>
      </c>
      <c r="F8" s="23" t="s">
        <v>240</v>
      </c>
      <c r="G8" s="23"/>
      <c r="H8" s="23"/>
    </row>
    <row r="9" spans="1:8" x14ac:dyDescent="0.25">
      <c r="B9" t="s">
        <v>155</v>
      </c>
      <c r="C9" s="18">
        <v>52260.115017000004</v>
      </c>
      <c r="D9" s="18">
        <v>1208652</v>
      </c>
      <c r="F9" s="23"/>
      <c r="G9" s="23"/>
      <c r="H9" s="23"/>
    </row>
    <row r="10" spans="1:8" x14ac:dyDescent="0.25">
      <c r="B10" t="s">
        <v>157</v>
      </c>
      <c r="C10" s="18">
        <v>551429.81953499967</v>
      </c>
      <c r="D10" s="18">
        <v>14246356</v>
      </c>
      <c r="F10" s="23"/>
      <c r="G10" s="23"/>
      <c r="H10" s="23"/>
    </row>
    <row r="11" spans="1:8" x14ac:dyDescent="0.25">
      <c r="B11" t="s">
        <v>154</v>
      </c>
      <c r="C11" s="18">
        <v>407538.17985300004</v>
      </c>
      <c r="D11" s="18">
        <v>10477656</v>
      </c>
    </row>
    <row r="12" spans="1:8" ht="15" customHeight="1" x14ac:dyDescent="0.25">
      <c r="B12" t="s">
        <v>156</v>
      </c>
      <c r="C12" s="18">
        <v>83975.383234000008</v>
      </c>
      <c r="D12" s="18">
        <v>2383220</v>
      </c>
      <c r="F12" s="23" t="s">
        <v>241</v>
      </c>
      <c r="G12" s="23"/>
      <c r="H12" s="23"/>
    </row>
    <row r="13" spans="1:8" x14ac:dyDescent="0.25">
      <c r="A13" t="s">
        <v>238</v>
      </c>
      <c r="C13" s="18">
        <v>2399337.4133559996</v>
      </c>
      <c r="D13" s="18">
        <v>61386576</v>
      </c>
      <c r="F13" s="23"/>
      <c r="G13" s="23"/>
      <c r="H13" s="23"/>
    </row>
    <row r="14" spans="1:8" x14ac:dyDescent="0.25">
      <c r="A14" t="s">
        <v>9</v>
      </c>
      <c r="C14" s="18"/>
      <c r="D14" s="18"/>
      <c r="F14" s="23"/>
      <c r="G14" s="23"/>
      <c r="H14" s="23"/>
    </row>
    <row r="15" spans="1:8" x14ac:dyDescent="0.25">
      <c r="B15" t="s">
        <v>151</v>
      </c>
      <c r="C15" s="18">
        <v>738779.46553699998</v>
      </c>
      <c r="D15" s="18">
        <v>19780467</v>
      </c>
      <c r="F15" s="23"/>
      <c r="G15" s="23"/>
      <c r="H15" s="23"/>
    </row>
    <row r="16" spans="1:8" x14ac:dyDescent="0.25">
      <c r="B16" t="s">
        <v>153</v>
      </c>
      <c r="C16" s="18">
        <v>384946.30699500005</v>
      </c>
      <c r="D16" s="18">
        <v>9539582</v>
      </c>
    </row>
    <row r="17" spans="1:8" x14ac:dyDescent="0.25">
      <c r="B17" t="s">
        <v>152</v>
      </c>
      <c r="C17" s="18">
        <v>454504.05145299999</v>
      </c>
      <c r="D17" s="18">
        <v>11677164</v>
      </c>
      <c r="F17" s="23" t="s">
        <v>242</v>
      </c>
      <c r="G17" s="23"/>
      <c r="H17" s="23"/>
    </row>
    <row r="18" spans="1:8" x14ac:dyDescent="0.25">
      <c r="B18" t="s">
        <v>150</v>
      </c>
      <c r="C18" s="18">
        <v>241089.439529</v>
      </c>
      <c r="D18" s="18">
        <v>6047917</v>
      </c>
      <c r="F18" s="23"/>
      <c r="G18" s="23"/>
      <c r="H18" s="23"/>
    </row>
    <row r="19" spans="1:8" x14ac:dyDescent="0.25">
      <c r="B19" t="s">
        <v>155</v>
      </c>
      <c r="C19" s="18">
        <v>53170.009572999988</v>
      </c>
      <c r="D19" s="18">
        <v>1550395</v>
      </c>
      <c r="F19" s="23"/>
      <c r="G19" s="23"/>
      <c r="H19" s="23"/>
    </row>
    <row r="20" spans="1:8" x14ac:dyDescent="0.25">
      <c r="B20" t="s">
        <v>157</v>
      </c>
      <c r="C20" s="18">
        <v>803141.65672999981</v>
      </c>
      <c r="D20" s="18">
        <v>20925598</v>
      </c>
    </row>
    <row r="21" spans="1:8" x14ac:dyDescent="0.25">
      <c r="B21" t="s">
        <v>154</v>
      </c>
      <c r="C21" s="18">
        <v>435734.83068000013</v>
      </c>
      <c r="D21" s="18">
        <v>12062151</v>
      </c>
    </row>
    <row r="22" spans="1:8" x14ac:dyDescent="0.25">
      <c r="B22" t="s">
        <v>156</v>
      </c>
      <c r="C22" s="18">
        <v>161469.06425300002</v>
      </c>
      <c r="D22" s="18">
        <v>3595128</v>
      </c>
    </row>
    <row r="23" spans="1:8" x14ac:dyDescent="0.25">
      <c r="A23" t="s">
        <v>239</v>
      </c>
      <c r="C23" s="18">
        <v>3272834.8247500001</v>
      </c>
      <c r="D23" s="18">
        <v>85178402</v>
      </c>
    </row>
    <row r="24" spans="1:8" x14ac:dyDescent="0.25">
      <c r="A24" t="s">
        <v>175</v>
      </c>
      <c r="C24" s="18">
        <v>5672172.2381059984</v>
      </c>
      <c r="D24" s="18">
        <v>146564978</v>
      </c>
    </row>
  </sheetData>
  <mergeCells count="4">
    <mergeCell ref="G2:H2"/>
    <mergeCell ref="F8:H10"/>
    <mergeCell ref="F12:H15"/>
    <mergeCell ref="F17:H19"/>
  </mergeCells>
  <conditionalFormatting sqref="G5:G6">
    <cfRule type="colorScale" priority="2">
      <colorScale>
        <cfvo type="min"/>
        <cfvo type="max"/>
        <color rgb="FFFFEF9C"/>
        <color rgb="FF63BE7B"/>
      </colorScale>
    </cfRule>
  </conditionalFormatting>
  <conditionalFormatting sqref="H5:H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0CC41-48B4-4665-BE78-BED1F0B056EF}">
  <sheetPr>
    <tabColor rgb="FF7030A0"/>
  </sheetPr>
  <dimension ref="A3:B26"/>
  <sheetViews>
    <sheetView tabSelected="1" workbookViewId="0">
      <selection activeCell="Q17" sqref="Q17"/>
    </sheetView>
  </sheetViews>
  <sheetFormatPr baseColWidth="10" defaultRowHeight="15" x14ac:dyDescent="0.25"/>
  <cols>
    <col min="1" max="1" width="17.5703125" bestFit="1" customWidth="1"/>
    <col min="2" max="2" width="15.140625" bestFit="1" customWidth="1"/>
  </cols>
  <sheetData>
    <row r="3" spans="1:2" x14ac:dyDescent="0.25">
      <c r="A3" s="5" t="s">
        <v>174</v>
      </c>
      <c r="B3" t="s">
        <v>176</v>
      </c>
    </row>
    <row r="4" spans="1:2" x14ac:dyDescent="0.25">
      <c r="A4" s="6" t="s">
        <v>86</v>
      </c>
      <c r="B4" s="11">
        <v>13149429</v>
      </c>
    </row>
    <row r="5" spans="1:2" x14ac:dyDescent="0.25">
      <c r="A5" s="6" t="s">
        <v>85</v>
      </c>
      <c r="B5" s="11">
        <v>3838966</v>
      </c>
    </row>
    <row r="6" spans="1:2" x14ac:dyDescent="0.25">
      <c r="A6" s="6" t="s">
        <v>161</v>
      </c>
      <c r="B6" s="11">
        <v>13535221</v>
      </c>
    </row>
    <row r="7" spans="1:2" x14ac:dyDescent="0.25">
      <c r="A7" s="6" t="s">
        <v>88</v>
      </c>
      <c r="B7" s="11">
        <v>16129498</v>
      </c>
    </row>
    <row r="8" spans="1:2" x14ac:dyDescent="0.25">
      <c r="A8" s="6" t="s">
        <v>163</v>
      </c>
      <c r="B8" s="11">
        <v>11510967</v>
      </c>
    </row>
    <row r="9" spans="1:2" x14ac:dyDescent="0.25">
      <c r="A9" s="6" t="s">
        <v>89</v>
      </c>
      <c r="B9" s="11">
        <v>12271934</v>
      </c>
    </row>
    <row r="10" spans="1:2" x14ac:dyDescent="0.25">
      <c r="A10" s="6" t="s">
        <v>91</v>
      </c>
      <c r="B10" s="11">
        <v>25510157</v>
      </c>
    </row>
    <row r="11" spans="1:2" x14ac:dyDescent="0.25">
      <c r="A11" s="6" t="s">
        <v>87</v>
      </c>
      <c r="B11" s="11">
        <v>11857489</v>
      </c>
    </row>
    <row r="12" spans="1:2" x14ac:dyDescent="0.25">
      <c r="A12" s="6" t="s">
        <v>162</v>
      </c>
      <c r="B12" s="11">
        <v>38761317</v>
      </c>
    </row>
    <row r="13" spans="1:2" x14ac:dyDescent="0.25">
      <c r="A13" s="6" t="s">
        <v>175</v>
      </c>
      <c r="B13" s="11">
        <v>146564978</v>
      </c>
    </row>
    <row r="14" spans="1:2" x14ac:dyDescent="0.25">
      <c r="B14" s="11"/>
    </row>
    <row r="15" spans="1:2" x14ac:dyDescent="0.25">
      <c r="A15" s="5" t="s">
        <v>174</v>
      </c>
      <c r="B15" s="11" t="s">
        <v>176</v>
      </c>
    </row>
    <row r="16" spans="1:2" x14ac:dyDescent="0.25">
      <c r="A16" s="6" t="s">
        <v>79</v>
      </c>
      <c r="B16" s="11">
        <v>55047421</v>
      </c>
    </row>
    <row r="17" spans="1:2" x14ac:dyDescent="0.25">
      <c r="A17" s="6" t="s">
        <v>82</v>
      </c>
      <c r="B17" s="11">
        <v>11862587</v>
      </c>
    </row>
    <row r="18" spans="1:2" x14ac:dyDescent="0.25">
      <c r="A18" s="6" t="s">
        <v>180</v>
      </c>
      <c r="B18" s="11">
        <v>30126889</v>
      </c>
    </row>
    <row r="19" spans="1:2" x14ac:dyDescent="0.25">
      <c r="A19" s="6" t="s">
        <v>81</v>
      </c>
      <c r="B19" s="11">
        <v>37398809</v>
      </c>
    </row>
    <row r="20" spans="1:2" x14ac:dyDescent="0.25">
      <c r="A20" s="6" t="s">
        <v>93</v>
      </c>
      <c r="B20" s="11">
        <v>12129272</v>
      </c>
    </row>
    <row r="21" spans="1:2" x14ac:dyDescent="0.25">
      <c r="A21" s="6" t="s">
        <v>175</v>
      </c>
      <c r="B21" s="11">
        <v>146564978</v>
      </c>
    </row>
    <row r="22" spans="1:2" x14ac:dyDescent="0.25">
      <c r="B22" s="11"/>
    </row>
    <row r="23" spans="1:2" x14ac:dyDescent="0.25">
      <c r="A23" s="5" t="s">
        <v>174</v>
      </c>
      <c r="B23" s="11" t="s">
        <v>176</v>
      </c>
    </row>
    <row r="24" spans="1:2" x14ac:dyDescent="0.25">
      <c r="A24" s="6" t="s">
        <v>5</v>
      </c>
      <c r="B24" s="11">
        <v>61386576</v>
      </c>
    </row>
    <row r="25" spans="1:2" x14ac:dyDescent="0.25">
      <c r="A25" s="6" t="s">
        <v>9</v>
      </c>
      <c r="B25" s="11">
        <v>85178402</v>
      </c>
    </row>
    <row r="26" spans="1:2" x14ac:dyDescent="0.25">
      <c r="A26" s="6" t="s">
        <v>175</v>
      </c>
      <c r="B26" s="11">
        <v>146564978</v>
      </c>
    </row>
  </sheetData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581C87-0995-4E24-A895-FA12A09674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Datos_Peru</vt:lpstr>
      <vt:lpstr>Base_limpia</vt:lpstr>
      <vt:lpstr>Analisis_Vendedores</vt:lpstr>
      <vt:lpstr>Analisis_Producto</vt:lpstr>
      <vt:lpstr>Analisis_Territorio</vt:lpstr>
      <vt:lpstr>Dash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Aguinaga</dc:creator>
  <cp:lastModifiedBy>Usuario</cp:lastModifiedBy>
  <dcterms:created xsi:type="dcterms:W3CDTF">2015-09-23T20:41:28Z</dcterms:created>
  <dcterms:modified xsi:type="dcterms:W3CDTF">2026-07-22T16:29:05Z</dcterms:modified>
</cp:coreProperties>
</file>